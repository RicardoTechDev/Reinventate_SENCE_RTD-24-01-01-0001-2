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F15" i="1" s="1"/>
  <c r="H15" i="1" s="1"/>
  <c r="J15" i="1" s="1"/>
  <c r="B28" i="1" s="1"/>
  <c r="D28" i="1" s="1"/>
  <c r="F28" i="1" s="1"/>
  <c r="H28" i="1" s="1"/>
  <c r="J28" i="1" s="1"/>
  <c r="B41" i="1" s="1"/>
  <c r="D41" i="1" s="1"/>
  <c r="F41" i="1" s="1"/>
  <c r="H41" i="1" s="1"/>
  <c r="J41" i="1" s="1"/>
  <c r="B54" i="1" s="1"/>
  <c r="D54" i="1" s="1"/>
  <c r="F54" i="1" s="1"/>
  <c r="H54" i="1" s="1"/>
  <c r="J54" i="1" s="1"/>
  <c r="B67" i="1" s="1"/>
  <c r="D67" i="1" s="1"/>
  <c r="F67" i="1" s="1"/>
  <c r="H67" i="1" s="1"/>
  <c r="J67" i="1" s="1"/>
  <c r="B80" i="1" s="1"/>
  <c r="D80" i="1" s="1"/>
  <c r="F80" i="1" s="1"/>
  <c r="H80" i="1" s="1"/>
  <c r="J80" i="1" s="1"/>
  <c r="B93" i="1" s="1"/>
  <c r="D93" i="1" s="1"/>
  <c r="F93" i="1" s="1"/>
  <c r="H93" i="1" s="1"/>
  <c r="J93" i="1" s="1"/>
  <c r="B17" i="1"/>
  <c r="D17" i="1"/>
  <c r="F17" i="1"/>
  <c r="H17" i="1"/>
  <c r="J17" i="1"/>
  <c r="B30" i="1"/>
  <c r="D30" i="1"/>
  <c r="F30" i="1"/>
  <c r="H30" i="1"/>
  <c r="J30" i="1"/>
  <c r="B43" i="1"/>
  <c r="D43" i="1"/>
  <c r="F43" i="1"/>
  <c r="H43" i="1"/>
  <c r="J43" i="1"/>
  <c r="D56" i="1"/>
  <c r="F56" i="1"/>
  <c r="H56" i="1"/>
  <c r="J56" i="1"/>
  <c r="B69" i="1"/>
  <c r="D69" i="1"/>
  <c r="F69" i="1"/>
  <c r="H69" i="1"/>
  <c r="J69" i="1"/>
  <c r="B82" i="1"/>
  <c r="D82" i="1"/>
  <c r="B95" i="1"/>
  <c r="D95" i="1"/>
  <c r="J108" i="1" l="1"/>
  <c r="H108" i="1"/>
  <c r="F108" i="1"/>
  <c r="D108" i="1"/>
  <c r="B108" i="1"/>
  <c r="B106" i="1" l="1"/>
  <c r="D106" i="1" s="1"/>
  <c r="F106" i="1" s="1"/>
  <c r="H106" i="1" s="1"/>
  <c r="J106" i="1" s="1"/>
  <c r="B122" i="1" s="1"/>
  <c r="D122" i="1" s="1"/>
  <c r="F122" i="1" s="1"/>
  <c r="H122" i="1" s="1"/>
  <c r="J122" i="1" s="1"/>
  <c r="B135" i="1" s="1"/>
  <c r="D135" i="1" s="1"/>
  <c r="F135" i="1" s="1"/>
  <c r="H135" i="1" s="1"/>
  <c r="J135" i="1" s="1"/>
  <c r="B148" i="1" s="1"/>
  <c r="D148" i="1" s="1"/>
  <c r="F148" i="1" s="1"/>
  <c r="H148" i="1" s="1"/>
  <c r="J148" i="1" s="1"/>
  <c r="B161" i="1" s="1"/>
  <c r="D161" i="1" s="1"/>
  <c r="F161" i="1" s="1"/>
  <c r="H161" i="1" s="1"/>
  <c r="J161" i="1" s="1"/>
  <c r="B174" i="1" s="1"/>
  <c r="D174" i="1" s="1"/>
  <c r="F174" i="1" s="1"/>
  <c r="H174" i="1" s="1"/>
  <c r="J174" i="1" s="1"/>
  <c r="B187" i="1" s="1"/>
  <c r="D187" i="1" s="1"/>
  <c r="F187" i="1" s="1"/>
  <c r="H187" i="1" s="1"/>
  <c r="J187" i="1" s="1"/>
  <c r="B200" i="1" s="1"/>
  <c r="D200" i="1" s="1"/>
  <c r="F200" i="1" s="1"/>
  <c r="H200" i="1" s="1"/>
  <c r="J200" i="1" s="1"/>
  <c r="B213" i="1" s="1"/>
  <c r="D213" i="1" s="1"/>
  <c r="F213" i="1" s="1"/>
  <c r="H213" i="1" s="1"/>
  <c r="J213" i="1" s="1"/>
  <c r="B226" i="1" s="1"/>
  <c r="D226" i="1" s="1"/>
  <c r="F226" i="1" s="1"/>
  <c r="H226" i="1" s="1"/>
  <c r="J226" i="1" s="1"/>
  <c r="B239" i="1" s="1"/>
  <c r="D239" i="1" s="1"/>
  <c r="F239" i="1" s="1"/>
  <c r="H239" i="1" s="1"/>
  <c r="J239" i="1" s="1"/>
  <c r="B252" i="1" s="1"/>
  <c r="D252" i="1" s="1"/>
  <c r="F252" i="1" s="1"/>
  <c r="H252" i="1" s="1"/>
  <c r="J252" i="1" s="1"/>
  <c r="B265" i="1" s="1"/>
  <c r="D265" i="1" s="1"/>
  <c r="F265" i="1" s="1"/>
  <c r="H265" i="1" s="1"/>
  <c r="J265" i="1" s="1"/>
  <c r="B278" i="1" s="1"/>
  <c r="D278" i="1" s="1"/>
  <c r="F278" i="1" s="1"/>
  <c r="H278" i="1" s="1"/>
  <c r="J278" i="1" s="1"/>
  <c r="B291" i="1" s="1"/>
  <c r="D291" i="1" s="1"/>
  <c r="F291" i="1" s="1"/>
  <c r="H291" i="1" s="1"/>
  <c r="J291" i="1" s="1"/>
  <c r="B304" i="1" s="1"/>
  <c r="D304" i="1" s="1"/>
  <c r="F304" i="1" s="1"/>
  <c r="H304" i="1" s="1"/>
  <c r="J304" i="1" s="1"/>
  <c r="B317" i="1" s="1"/>
  <c r="D317" i="1" s="1"/>
  <c r="F317" i="1" s="1"/>
  <c r="H317" i="1" s="1"/>
  <c r="J317" i="1" s="1"/>
  <c r="B330" i="1" s="1"/>
  <c r="D330" i="1" s="1"/>
  <c r="F330" i="1" s="1"/>
  <c r="H330" i="1" s="1"/>
  <c r="J330" i="1" s="1"/>
</calcChain>
</file>

<file path=xl/sharedStrings.xml><?xml version="1.0" encoding="utf-8"?>
<sst xmlns="http://schemas.openxmlformats.org/spreadsheetml/2006/main" count="129" uniqueCount="107">
  <si>
    <t xml:space="preserve"> </t>
  </si>
  <si>
    <t>Fullstack Python/Django 2025</t>
  </si>
  <si>
    <t>Repositorio Github</t>
  </si>
  <si>
    <t>Grabaciones de clases</t>
  </si>
  <si>
    <t>Instructor:</t>
  </si>
  <si>
    <t>Ricardo Vega</t>
  </si>
  <si>
    <t>Hora en que inicia la clase</t>
  </si>
  <si>
    <t>Ocultar fila/renglón al seleccionar la hora</t>
  </si>
  <si>
    <t>Semana 2 - Módulo # 2</t>
  </si>
  <si>
    <t>Semana 3 - Módulo # 2</t>
  </si>
  <si>
    <t>Semana 4 - Módulo # 2</t>
  </si>
  <si>
    <t>FERIADO</t>
  </si>
  <si>
    <t>Semana 1 - Módulo # 2</t>
  </si>
  <si>
    <t>ricardovega@ecas-otec.cl</t>
  </si>
  <si>
    <t>Inicio Proyecto Cinepedia en equipos</t>
  </si>
  <si>
    <t xml:space="preserve">Bootstrap: Tablas, </t>
  </si>
  <si>
    <t>Grabación de la clase</t>
  </si>
  <si>
    <t>Semana 8 - Módulo # 3</t>
  </si>
  <si>
    <t>Semana 11 - Módulo # 4</t>
  </si>
  <si>
    <t xml:space="preserve">Semana 21 - Módulo # </t>
  </si>
  <si>
    <t xml:space="preserve">Semana 22 - Módulo # </t>
  </si>
  <si>
    <t xml:space="preserve">Semana 23 - Módulo # </t>
  </si>
  <si>
    <t xml:space="preserve">Semana 24 - Módulo # </t>
  </si>
  <si>
    <t xml:space="preserve">Semana 25 - Módulo # </t>
  </si>
  <si>
    <t>Introducción a JavaScript</t>
  </si>
  <si>
    <t>Instalando Node.js</t>
  </si>
  <si>
    <t>Variables, tipos y operadores</t>
  </si>
  <si>
    <t>Condicionales</t>
  </si>
  <si>
    <t>Bucles</t>
  </si>
  <si>
    <t>Depurando código</t>
  </si>
  <si>
    <t>Arreglos</t>
  </si>
  <si>
    <t>Objetos</t>
  </si>
  <si>
    <t>Funciones</t>
  </si>
  <si>
    <t>Document Object Model</t>
  </si>
  <si>
    <t>Manipulación del DOM</t>
  </si>
  <si>
    <t>Eventos</t>
  </si>
  <si>
    <t>jQuery</t>
  </si>
  <si>
    <t>Uso plantilla Boostrap</t>
  </si>
  <si>
    <t>Ejemplo trabajar con ramas Git y GitHub</t>
  </si>
  <si>
    <t>Avance Cinepedia</t>
  </si>
  <si>
    <t>Avance Cinepedia - Incorporar Js y JQ</t>
  </si>
  <si>
    <t>Avance Cinepedia y presentación</t>
  </si>
  <si>
    <t>Más acerca de Git</t>
  </si>
  <si>
    <t>Ejercicios con funciones</t>
  </si>
  <si>
    <t>Semana 5 - Módulo # 2</t>
  </si>
  <si>
    <t>Semana 6 - Módulo # 2</t>
  </si>
  <si>
    <t>Introducción a Python</t>
  </si>
  <si>
    <t>Sintaxis de Python</t>
  </si>
  <si>
    <t>Python VS Otros lenguajes</t>
  </si>
  <si>
    <t>Uso de comentarios</t>
  </si>
  <si>
    <t>Indentación en Python</t>
  </si>
  <si>
    <t>Variables: buenas prácticas, nombres correctos, declaración, inicialización, asignación</t>
  </si>
  <si>
    <t>Tipos de datos</t>
  </si>
  <si>
    <t>Parseo VS Casteo</t>
  </si>
  <si>
    <t>Entrada y salida de datos</t>
  </si>
  <si>
    <t>Operadores: Aritméticos, Relacionales, Lógicos, Asignación, Incremento y decremento, Concatenación</t>
  </si>
  <si>
    <t>Uso de pseudocódigo y diagramas de flujo</t>
  </si>
  <si>
    <t>Ejercicios en grupos pseudocódigo</t>
  </si>
  <si>
    <t>Instalación de librerías utiles</t>
  </si>
  <si>
    <t>Operadores Bit a Bit</t>
  </si>
  <si>
    <t>Condicionales if / elif / else</t>
  </si>
  <si>
    <t>ejercicios condicionales</t>
  </si>
  <si>
    <t>Bucles en Python</t>
  </si>
  <si>
    <t>Sentencias básicas</t>
  </si>
  <si>
    <t>Semana 7 - Módulo # 2</t>
  </si>
  <si>
    <t>Estructuras de Datos</t>
  </si>
  <si>
    <t>Listas</t>
  </si>
  <si>
    <t>Tuplas</t>
  </si>
  <si>
    <t>Sets</t>
  </si>
  <si>
    <t>Ejercicio Grupal</t>
  </si>
  <si>
    <t>Live Coding</t>
  </si>
  <si>
    <t>Ejercicio grupal</t>
  </si>
  <si>
    <t xml:space="preserve">Parámetros por defecto y argumentos </t>
  </si>
  <si>
    <t>Funciones en Python</t>
  </si>
  <si>
    <t>Semana 9 - Módulo # 3</t>
  </si>
  <si>
    <t>Semana 10 - Módulo # 3 y # 4</t>
  </si>
  <si>
    <t>Evaluación del módulo</t>
  </si>
  <si>
    <t>Sintaxis de funciones</t>
  </si>
  <si>
    <t>Definición, cuerpo, indentado y llamado</t>
  </si>
  <si>
    <t>Funciones sin párametros</t>
  </si>
  <si>
    <t>Recursividad</t>
  </si>
  <si>
    <t>Semana 12 - Módulo # 4 y #5</t>
  </si>
  <si>
    <t xml:space="preserve">Semana 13 - Módulo #5 </t>
  </si>
  <si>
    <t xml:space="preserve">Semana 14 - Módulo #6 </t>
  </si>
  <si>
    <t xml:space="preserve">Semana 15 - Módulo #6 </t>
  </si>
  <si>
    <t>Semana 17 - Módulo # 7</t>
  </si>
  <si>
    <t>Semana 16 - Módulo #6 y #7</t>
  </si>
  <si>
    <t xml:space="preserve">Semana 18 - Módulo #7 </t>
  </si>
  <si>
    <t>Semana 19 - Módulo #7 y #8</t>
  </si>
  <si>
    <t>Inicio módulo 8</t>
  </si>
  <si>
    <t>Inicio módulo 9</t>
  </si>
  <si>
    <t xml:space="preserve">Semana 20 - Módulo #8 y #9 </t>
  </si>
  <si>
    <t>Término recuperación horas</t>
  </si>
  <si>
    <t>Instalación de librerias</t>
  </si>
  <si>
    <t xml:space="preserve"> elenapoblete@ecas-otec.cl</t>
  </si>
  <si>
    <t>Elena Poblete</t>
  </si>
  <si>
    <t>Ayudante:</t>
  </si>
  <si>
    <t>Resolución de ejercicios bucles en grupos</t>
  </si>
  <si>
    <t>Estructuras de Datos --&gt; Diccionarios</t>
  </si>
  <si>
    <t>Live Coding Tuplas</t>
  </si>
  <si>
    <t>Espacio para terminar ejercicio grupal</t>
  </si>
  <si>
    <t>Presentación ejercicios resueltos (Alumnos)</t>
  </si>
  <si>
    <t>Ejercicio Grupal Diccionarios</t>
  </si>
  <si>
    <t>Ejercicios grupales funciones</t>
  </si>
  <si>
    <t>Importaciones</t>
  </si>
  <si>
    <t>Modulos y paquetes</t>
  </si>
  <si>
    <t>Live Coding ejercicio Sistema Gestión de Biblioteca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</si>
</sst>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d&quot;, &quot;d&quot; de &quot;mmmm"/>
  </numFmts>
  <fonts count="2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/>
      <sz val="24"/>
      <color rgb="FF434343"/>
      <name val="Roboto Mono"/>
    </font>
    <font>
      <sz val="10"/>
      <name val="Arial"/>
      <family val="2"/>
    </font>
    <font>
      <b/>
      <sz val="36"/>
      <color rgb="FF000000"/>
      <name val="Roboto Mono"/>
    </font>
    <font>
      <sz val="10"/>
      <color theme="1"/>
      <name val="Arial"/>
      <family val="2"/>
    </font>
    <font>
      <sz val="14"/>
      <color rgb="FFFFFFFF"/>
      <name val="Roboto Mono"/>
    </font>
    <font>
      <b/>
      <sz val="10"/>
      <color rgb="FFFFFFFF"/>
      <name val="Arial"/>
      <family val="2"/>
    </font>
    <font>
      <b/>
      <i/>
      <sz val="10"/>
      <color theme="1"/>
      <name val="Arial"/>
      <family val="2"/>
    </font>
    <font>
      <b/>
      <sz val="12"/>
      <color rgb="FF434343"/>
      <name val="Arial"/>
      <family val="2"/>
    </font>
    <font>
      <b/>
      <sz val="10"/>
      <color theme="1"/>
      <name val="Arial"/>
      <family val="2"/>
    </font>
    <font>
      <b/>
      <u/>
      <sz val="10"/>
      <color rgb="FFFFFFFF"/>
      <name val="Arial"/>
      <family val="2"/>
    </font>
    <font>
      <b/>
      <sz val="10"/>
      <color rgb="FF434343"/>
      <name val="Arial"/>
      <family val="2"/>
    </font>
    <font>
      <b/>
      <u/>
      <sz val="10"/>
      <color rgb="FF0000FF"/>
      <name val="Arial"/>
      <family val="2"/>
    </font>
    <font>
      <b/>
      <sz val="18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u/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FFFFFF"/>
      <name val="Arial"/>
      <family val="2"/>
    </font>
    <font>
      <b/>
      <u/>
      <sz val="11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B1EC"/>
        <bgColor rgb="FF45B1EC"/>
      </patternFill>
    </fill>
    <fill>
      <patternFill patternType="solid">
        <fgColor rgb="FF524EAB"/>
        <bgColor rgb="FF524EAB"/>
      </patternFill>
    </fill>
    <fill>
      <patternFill patternType="solid">
        <fgColor rgb="FFB7E1CD"/>
        <bgColor rgb="FFB7E1CD"/>
      </patternFill>
    </fill>
    <fill>
      <patternFill patternType="solid">
        <fgColor rgb="FF536162"/>
        <bgColor rgb="FF536162"/>
      </patternFill>
    </fill>
    <fill>
      <patternFill patternType="solid">
        <fgColor rgb="FF7E7AC9"/>
        <bgColor rgb="FF7E7AC9"/>
      </patternFill>
    </fill>
    <fill>
      <patternFill patternType="solid">
        <fgColor rgb="FF497389"/>
        <bgColor rgb="FF497389"/>
      </patternFill>
    </fill>
    <fill>
      <patternFill patternType="solid">
        <fgColor rgb="FF588894"/>
        <bgColor rgb="FF588894"/>
      </patternFill>
    </fill>
    <fill>
      <patternFill patternType="solid">
        <fgColor rgb="FFC5CCCD"/>
        <bgColor rgb="FFC5CCCD"/>
      </patternFill>
    </fill>
    <fill>
      <patternFill patternType="solid">
        <fgColor rgb="FFD7D6EA"/>
        <bgColor rgb="FFD7D6EA"/>
      </patternFill>
    </fill>
    <fill>
      <patternFill patternType="solid">
        <fgColor rgb="FFC2D5DE"/>
        <bgColor rgb="FFC2D5DE"/>
      </patternFill>
    </fill>
    <fill>
      <patternFill patternType="solid">
        <fgColor rgb="FFCECDE9"/>
        <bgColor rgb="FFCECDE9"/>
      </patternFill>
    </fill>
    <fill>
      <patternFill patternType="solid">
        <fgColor rgb="FFCEDDE1"/>
        <bgColor rgb="FFCEDDE1"/>
      </patternFill>
    </fill>
    <fill>
      <patternFill patternType="solid">
        <fgColor rgb="FFE1E6E6"/>
        <bgColor rgb="FFE1E6E6"/>
      </patternFill>
    </fill>
    <fill>
      <patternFill patternType="solid">
        <fgColor rgb="FFE8E7F3"/>
        <bgColor rgb="FFE8E7F3"/>
      </patternFill>
    </fill>
    <fill>
      <patternFill patternType="solid">
        <fgColor rgb="FFE0EAEF"/>
        <bgColor rgb="FFE0EAEF"/>
      </patternFill>
    </fill>
    <fill>
      <patternFill patternType="solid">
        <fgColor rgb="FFE6EEF0"/>
        <bgColor rgb="FFE6EEF0"/>
      </patternFill>
    </fill>
    <fill>
      <patternFill patternType="solid">
        <fgColor rgb="FFFF0000"/>
        <bgColor rgb="FFC5CCCD"/>
      </patternFill>
    </fill>
    <fill>
      <patternFill patternType="solid">
        <fgColor rgb="FF00FF00"/>
        <bgColor rgb="FFC2D5DE"/>
      </patternFill>
    </fill>
    <fill>
      <patternFill patternType="solid">
        <fgColor rgb="FF00FF00"/>
        <bgColor rgb="FFCECDE9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C2D5DE"/>
      </patternFill>
    </fill>
    <fill>
      <patternFill patternType="solid">
        <fgColor rgb="FFFFC000"/>
        <bgColor rgb="FFE0EAEF"/>
      </patternFill>
    </fill>
    <fill>
      <patternFill patternType="solid">
        <fgColor rgb="FF00FF00"/>
        <bgColor rgb="FFCEDDE1"/>
      </patternFill>
    </fill>
    <fill>
      <patternFill patternType="solid">
        <fgColor rgb="FF00FF00"/>
        <bgColor rgb="FFE6EEF0"/>
      </patternFill>
    </fill>
  </fills>
  <borders count="32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B7E1CD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B7E1CD"/>
      </right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000000"/>
      </top>
      <bottom/>
      <diagonal/>
    </border>
    <border>
      <left/>
      <right style="thin">
        <color rgb="FF999999"/>
      </right>
      <top style="thin">
        <color rgb="FF000000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61">
    <xf numFmtId="0" fontId="0" fillId="0" borderId="0" xfId="0"/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20" fontId="6" fillId="2" borderId="0" xfId="0" applyNumberFormat="1" applyFont="1" applyFill="1" applyAlignment="1">
      <alignment horizontal="right"/>
    </xf>
    <xf numFmtId="20" fontId="13" fillId="10" borderId="19" xfId="0" applyNumberFormat="1" applyFont="1" applyFill="1" applyBorder="1" applyAlignment="1">
      <alignment horizontal="center" wrapText="1"/>
    </xf>
    <xf numFmtId="0" fontId="13" fillId="10" borderId="20" xfId="0" applyFont="1" applyFill="1" applyBorder="1" applyAlignment="1">
      <alignment wrapText="1"/>
    </xf>
    <xf numFmtId="20" fontId="13" fillId="11" borderId="21" xfId="0" applyNumberFormat="1" applyFont="1" applyFill="1" applyBorder="1" applyAlignment="1">
      <alignment horizontal="center" wrapText="1"/>
    </xf>
    <xf numFmtId="20" fontId="13" fillId="12" borderId="19" xfId="0" applyNumberFormat="1" applyFont="1" applyFill="1" applyBorder="1" applyAlignment="1">
      <alignment horizontal="center" wrapText="1"/>
    </xf>
    <xf numFmtId="0" fontId="13" fillId="12" borderId="20" xfId="0" applyFont="1" applyFill="1" applyBorder="1" applyAlignment="1">
      <alignment wrapText="1"/>
    </xf>
    <xf numFmtId="0" fontId="13" fillId="13" borderId="20" xfId="0" applyFont="1" applyFill="1" applyBorder="1" applyAlignment="1">
      <alignment wrapText="1"/>
    </xf>
    <xf numFmtId="20" fontId="13" fillId="14" borderId="19" xfId="0" applyNumberFormat="1" applyFont="1" applyFill="1" applyBorder="1" applyAlignment="1">
      <alignment horizontal="center" wrapText="1"/>
    </xf>
    <xf numFmtId="20" fontId="13" fillId="15" borderId="19" xfId="0" applyNumberFormat="1" applyFont="1" applyFill="1" applyBorder="1" applyAlignment="1">
      <alignment horizontal="center" wrapText="1"/>
    </xf>
    <xf numFmtId="0" fontId="13" fillId="15" borderId="19" xfId="0" applyFont="1" applyFill="1" applyBorder="1" applyAlignment="1">
      <alignment wrapText="1"/>
    </xf>
    <xf numFmtId="20" fontId="13" fillId="16" borderId="22" xfId="0" applyNumberFormat="1" applyFont="1" applyFill="1" applyBorder="1" applyAlignment="1">
      <alignment horizontal="center" wrapText="1"/>
    </xf>
    <xf numFmtId="20" fontId="13" fillId="16" borderId="19" xfId="0" applyNumberFormat="1" applyFont="1" applyFill="1" applyBorder="1" applyAlignment="1">
      <alignment horizontal="center" wrapText="1"/>
    </xf>
    <xf numFmtId="0" fontId="13" fillId="17" borderId="19" xfId="0" applyFont="1" applyFill="1" applyBorder="1" applyAlignment="1">
      <alignment wrapText="1"/>
    </xf>
    <xf numFmtId="0" fontId="13" fillId="16" borderId="19" xfId="0" applyFont="1" applyFill="1" applyBorder="1" applyAlignment="1">
      <alignment wrapText="1"/>
    </xf>
    <xf numFmtId="20" fontId="13" fillId="18" borderId="19" xfId="0" applyNumberFormat="1" applyFont="1" applyFill="1" applyBorder="1" applyAlignment="1">
      <alignment horizontal="center" wrapText="1"/>
    </xf>
    <xf numFmtId="0" fontId="13" fillId="10" borderId="19" xfId="0" applyFont="1" applyFill="1" applyBorder="1" applyAlignment="1">
      <alignment wrapText="1"/>
    </xf>
    <xf numFmtId="20" fontId="13" fillId="11" borderId="20" xfId="0" applyNumberFormat="1" applyFont="1" applyFill="1" applyBorder="1" applyAlignment="1">
      <alignment horizontal="center" wrapText="1"/>
    </xf>
    <xf numFmtId="20" fontId="13" fillId="12" borderId="20" xfId="0" applyNumberFormat="1" applyFont="1" applyFill="1" applyBorder="1" applyAlignment="1">
      <alignment horizontal="center" wrapText="1"/>
    </xf>
    <xf numFmtId="0" fontId="13" fillId="12" borderId="19" xfId="0" applyFont="1" applyFill="1" applyBorder="1" applyAlignment="1">
      <alignment wrapText="1"/>
    </xf>
    <xf numFmtId="0" fontId="13" fillId="13" borderId="19" xfId="0" applyFont="1" applyFill="1" applyBorder="1" applyAlignment="1">
      <alignment wrapText="1"/>
    </xf>
    <xf numFmtId="0" fontId="13" fillId="14" borderId="19" xfId="0" applyFont="1" applyFill="1" applyBorder="1" applyAlignment="1">
      <alignment wrapText="1"/>
    </xf>
    <xf numFmtId="0" fontId="6" fillId="2" borderId="0" xfId="0" applyFont="1" applyFill="1" applyAlignment="1"/>
    <xf numFmtId="0" fontId="13" fillId="18" borderId="19" xfId="0" applyFont="1" applyFill="1" applyBorder="1" applyAlignment="1">
      <alignment wrapText="1"/>
    </xf>
    <xf numFmtId="20" fontId="6" fillId="2" borderId="0" xfId="0" applyNumberFormat="1" applyFont="1" applyFill="1" applyAlignment="1"/>
    <xf numFmtId="0" fontId="13" fillId="10" borderId="19" xfId="0" applyFont="1" applyFill="1" applyBorder="1" applyAlignment="1">
      <alignment horizontal="center" wrapText="1"/>
    </xf>
    <xf numFmtId="0" fontId="13" fillId="11" borderId="20" xfId="0" applyFont="1" applyFill="1" applyBorder="1" applyAlignment="1">
      <alignment horizontal="center" wrapText="1"/>
    </xf>
    <xf numFmtId="0" fontId="13" fillId="12" borderId="20" xfId="0" applyFont="1" applyFill="1" applyBorder="1" applyAlignment="1">
      <alignment horizontal="center" wrapText="1"/>
    </xf>
    <xf numFmtId="0" fontId="13" fillId="13" borderId="19" xfId="0" applyFont="1" applyFill="1" applyBorder="1" applyAlignment="1">
      <alignment horizontal="center" wrapText="1"/>
    </xf>
    <xf numFmtId="0" fontId="13" fillId="14" borderId="19" xfId="0" applyFont="1" applyFill="1" applyBorder="1" applyAlignment="1">
      <alignment horizontal="center" wrapText="1"/>
    </xf>
    <xf numFmtId="0" fontId="13" fillId="15" borderId="19" xfId="0" applyFont="1" applyFill="1" applyBorder="1" applyAlignment="1">
      <alignment horizontal="center" wrapText="1"/>
    </xf>
    <xf numFmtId="0" fontId="13" fillId="16" borderId="19" xfId="0" applyFont="1" applyFill="1" applyBorder="1" applyAlignment="1">
      <alignment horizontal="center" wrapText="1"/>
    </xf>
    <xf numFmtId="0" fontId="13" fillId="18" borderId="1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20" fontId="13" fillId="10" borderId="20" xfId="0" applyNumberFormat="1" applyFont="1" applyFill="1" applyBorder="1" applyAlignment="1">
      <alignment horizontal="center" wrapText="1"/>
    </xf>
    <xf numFmtId="20" fontId="13" fillId="11" borderId="19" xfId="0" applyNumberFormat="1" applyFont="1" applyFill="1" applyBorder="1" applyAlignment="1">
      <alignment horizontal="center" wrapText="1"/>
    </xf>
    <xf numFmtId="20" fontId="13" fillId="13" borderId="20" xfId="0" applyNumberFormat="1" applyFont="1" applyFill="1" applyBorder="1" applyAlignment="1">
      <alignment horizontal="center" wrapText="1"/>
    </xf>
    <xf numFmtId="20" fontId="13" fillId="13" borderId="19" xfId="0" applyNumberFormat="1" applyFont="1" applyFill="1" applyBorder="1" applyAlignment="1">
      <alignment horizontal="center" wrapText="1"/>
    </xf>
    <xf numFmtId="0" fontId="13" fillId="11" borderId="17" xfId="0" applyFont="1" applyFill="1" applyBorder="1" applyAlignment="1">
      <alignment wrapText="1"/>
    </xf>
    <xf numFmtId="20" fontId="13" fillId="14" borderId="20" xfId="0" applyNumberFormat="1" applyFont="1" applyFill="1" applyBorder="1" applyAlignment="1">
      <alignment horizontal="center" wrapText="1"/>
    </xf>
    <xf numFmtId="0" fontId="13" fillId="14" borderId="20" xfId="0" applyFont="1" applyFill="1" applyBorder="1" applyAlignment="1">
      <alignment wrapText="1"/>
    </xf>
    <xf numFmtId="0" fontId="13" fillId="16" borderId="17" xfId="0" applyFont="1" applyFill="1" applyBorder="1" applyAlignment="1">
      <alignment wrapText="1"/>
    </xf>
    <xf numFmtId="0" fontId="13" fillId="11" borderId="27" xfId="0" applyFont="1" applyFill="1" applyBorder="1" applyAlignment="1">
      <alignment wrapText="1"/>
    </xf>
    <xf numFmtId="0" fontId="14" fillId="14" borderId="19" xfId="0" applyFont="1" applyFill="1" applyBorder="1" applyAlignment="1">
      <alignment wrapText="1"/>
    </xf>
    <xf numFmtId="0" fontId="0" fillId="0" borderId="0" xfId="0" applyFont="1" applyAlignment="1"/>
    <xf numFmtId="0" fontId="18" fillId="0" borderId="0" xfId="0" applyFont="1" applyBorder="1"/>
    <xf numFmtId="0" fontId="13" fillId="20" borderId="19" xfId="0" applyFont="1" applyFill="1" applyBorder="1" applyAlignment="1">
      <alignment wrapText="1"/>
    </xf>
    <xf numFmtId="0" fontId="13" fillId="21" borderId="19" xfId="0" applyFont="1" applyFill="1" applyBorder="1" applyAlignment="1">
      <alignment wrapText="1"/>
    </xf>
    <xf numFmtId="0" fontId="13" fillId="23" borderId="20" xfId="0" applyFont="1" applyFill="1" applyBorder="1" applyAlignment="1">
      <alignment wrapText="1"/>
    </xf>
    <xf numFmtId="0" fontId="13" fillId="24" borderId="19" xfId="0" applyFont="1" applyFill="1" applyBorder="1" applyAlignment="1">
      <alignment wrapText="1"/>
    </xf>
    <xf numFmtId="0" fontId="13" fillId="23" borderId="19" xfId="0" applyFont="1" applyFill="1" applyBorder="1" applyAlignment="1">
      <alignment wrapText="1"/>
    </xf>
    <xf numFmtId="0" fontId="13" fillId="25" borderId="20" xfId="0" applyFont="1" applyFill="1" applyBorder="1" applyAlignment="1">
      <alignment wrapText="1"/>
    </xf>
    <xf numFmtId="0" fontId="13" fillId="26" borderId="19" xfId="0" applyFont="1" applyFill="1" applyBorder="1" applyAlignment="1">
      <alignment wrapText="1"/>
    </xf>
    <xf numFmtId="0" fontId="13" fillId="22" borderId="20" xfId="0" applyFont="1" applyFill="1" applyBorder="1" applyAlignment="1">
      <alignment wrapText="1"/>
    </xf>
    <xf numFmtId="0" fontId="9" fillId="2" borderId="0" xfId="0" applyFont="1" applyFill="1" applyAlignment="1">
      <alignment horizontal="center"/>
    </xf>
    <xf numFmtId="0" fontId="0" fillId="0" borderId="0" xfId="0" applyFont="1" applyAlignment="1"/>
    <xf numFmtId="0" fontId="8" fillId="4" borderId="0" xfId="0" applyFont="1" applyFill="1" applyAlignment="1">
      <alignment horizontal="center"/>
    </xf>
    <xf numFmtId="20" fontId="19" fillId="4" borderId="0" xfId="0" applyNumberFormat="1" applyFont="1" applyFill="1" applyAlignment="1">
      <alignment horizontal="center"/>
    </xf>
    <xf numFmtId="0" fontId="12" fillId="6" borderId="17" xfId="0" applyFont="1" applyFill="1" applyBorder="1" applyAlignment="1">
      <alignment horizontal="center" wrapText="1"/>
    </xf>
    <xf numFmtId="0" fontId="4" fillId="0" borderId="18" xfId="0" applyFont="1" applyBorder="1"/>
    <xf numFmtId="0" fontId="12" fillId="7" borderId="17" xfId="0" applyFont="1" applyFill="1" applyBorder="1" applyAlignment="1">
      <alignment horizontal="center" wrapText="1"/>
    </xf>
    <xf numFmtId="0" fontId="12" fillId="8" borderId="17" xfId="0" applyFont="1" applyFill="1" applyBorder="1" applyAlignment="1">
      <alignment horizontal="center" wrapText="1"/>
    </xf>
    <xf numFmtId="0" fontId="12" fillId="4" borderId="17" xfId="0" applyFont="1" applyFill="1" applyBorder="1" applyAlignment="1">
      <alignment horizontal="center" wrapText="1"/>
    </xf>
    <xf numFmtId="0" fontId="8" fillId="9" borderId="17" xfId="0" applyFont="1" applyFill="1" applyBorder="1" applyAlignment="1">
      <alignment horizontal="center" wrapText="1"/>
    </xf>
    <xf numFmtId="0" fontId="6" fillId="5" borderId="17" xfId="0" applyFont="1" applyFill="1" applyBorder="1" applyAlignment="1">
      <alignment horizontal="center" wrapText="1"/>
    </xf>
    <xf numFmtId="0" fontId="4" fillId="0" borderId="23" xfId="0" applyFont="1" applyBorder="1"/>
    <xf numFmtId="0" fontId="10" fillId="5" borderId="9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164" fontId="8" fillId="6" borderId="15" xfId="0" applyNumberFormat="1" applyFont="1" applyFill="1" applyBorder="1" applyAlignment="1">
      <alignment horizontal="center" wrapText="1"/>
    </xf>
    <xf numFmtId="0" fontId="4" fillId="0" borderId="16" xfId="0" applyFont="1" applyBorder="1"/>
    <xf numFmtId="164" fontId="8" fillId="7" borderId="15" xfId="0" applyNumberFormat="1" applyFont="1" applyFill="1" applyBorder="1" applyAlignment="1">
      <alignment horizontal="center" wrapText="1"/>
    </xf>
    <xf numFmtId="164" fontId="8" fillId="8" borderId="15" xfId="0" applyNumberFormat="1" applyFont="1" applyFill="1" applyBorder="1" applyAlignment="1">
      <alignment horizontal="center" vertical="center" wrapText="1"/>
    </xf>
    <xf numFmtId="164" fontId="8" fillId="4" borderId="15" xfId="0" applyNumberFormat="1" applyFont="1" applyFill="1" applyBorder="1" applyAlignment="1">
      <alignment horizontal="center" wrapText="1"/>
    </xf>
    <xf numFmtId="164" fontId="8" fillId="9" borderId="15" xfId="0" applyNumberFormat="1" applyFont="1" applyFill="1" applyBorder="1" applyAlignment="1">
      <alignment horizontal="center" wrapText="1"/>
    </xf>
    <xf numFmtId="0" fontId="20" fillId="6" borderId="17" xfId="1" applyFont="1" applyFill="1" applyBorder="1" applyAlignment="1">
      <alignment horizontal="center" wrapText="1"/>
    </xf>
    <xf numFmtId="0" fontId="20" fillId="0" borderId="18" xfId="1" applyFont="1" applyBorder="1"/>
    <xf numFmtId="0" fontId="20" fillId="7" borderId="17" xfId="1" applyFont="1" applyFill="1" applyBorder="1" applyAlignment="1">
      <alignment horizontal="center" wrapText="1"/>
    </xf>
    <xf numFmtId="0" fontId="20" fillId="8" borderId="17" xfId="1" applyFont="1" applyFill="1" applyBorder="1" applyAlignment="1">
      <alignment horizontal="center" wrapText="1"/>
    </xf>
    <xf numFmtId="0" fontId="20" fillId="4" borderId="17" xfId="1" applyFont="1" applyFill="1" applyBorder="1" applyAlignment="1">
      <alignment horizontal="center" wrapText="1"/>
    </xf>
    <xf numFmtId="0" fontId="20" fillId="9" borderId="17" xfId="1" applyFont="1" applyFill="1" applyBorder="1" applyAlignment="1">
      <alignment horizont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wrapText="1"/>
    </xf>
    <xf numFmtId="0" fontId="12" fillId="7" borderId="18" xfId="0" applyFont="1" applyFill="1" applyBorder="1" applyAlignment="1">
      <alignment horizontal="center" wrapText="1"/>
    </xf>
    <xf numFmtId="0" fontId="12" fillId="8" borderId="18" xfId="0" applyFont="1" applyFill="1" applyBorder="1" applyAlignment="1">
      <alignment horizontal="center" wrapText="1"/>
    </xf>
    <xf numFmtId="0" fontId="12" fillId="4" borderId="18" xfId="0" applyFont="1" applyFill="1" applyBorder="1" applyAlignment="1">
      <alignment horizontal="center" wrapText="1"/>
    </xf>
    <xf numFmtId="0" fontId="8" fillId="9" borderId="18" xfId="0" applyFont="1" applyFill="1" applyBorder="1" applyAlignment="1">
      <alignment horizontal="center" wrapText="1"/>
    </xf>
    <xf numFmtId="0" fontId="6" fillId="5" borderId="27" xfId="0" applyFont="1" applyFill="1" applyBorder="1" applyAlignment="1">
      <alignment horizontal="center" wrapText="1"/>
    </xf>
    <xf numFmtId="0" fontId="6" fillId="5" borderId="28" xfId="0" applyFont="1" applyFill="1" applyBorder="1" applyAlignment="1">
      <alignment horizontal="center" wrapText="1"/>
    </xf>
    <xf numFmtId="0" fontId="6" fillId="5" borderId="29" xfId="0" applyFont="1" applyFill="1" applyBorder="1" applyAlignment="1">
      <alignment horizontal="center" wrapText="1"/>
    </xf>
    <xf numFmtId="20" fontId="15" fillId="19" borderId="24" xfId="0" applyNumberFormat="1" applyFont="1" applyFill="1" applyBorder="1" applyAlignment="1">
      <alignment horizontal="center" vertical="center" wrapText="1"/>
    </xf>
    <xf numFmtId="20" fontId="15" fillId="19" borderId="26" xfId="0" applyNumberFormat="1" applyFont="1" applyFill="1" applyBorder="1" applyAlignment="1">
      <alignment horizontal="center" vertical="center" wrapText="1"/>
    </xf>
    <xf numFmtId="20" fontId="15" fillId="19" borderId="15" xfId="0" applyNumberFormat="1" applyFont="1" applyFill="1" applyBorder="1" applyAlignment="1">
      <alignment horizontal="center" vertical="center" wrapText="1"/>
    </xf>
    <xf numFmtId="20" fontId="15" fillId="19" borderId="16" xfId="0" applyNumberFormat="1" applyFont="1" applyFill="1" applyBorder="1" applyAlignment="1">
      <alignment horizontal="center" vertical="center" wrapText="1"/>
    </xf>
    <xf numFmtId="20" fontId="15" fillId="19" borderId="17" xfId="0" applyNumberFormat="1" applyFont="1" applyFill="1" applyBorder="1" applyAlignment="1">
      <alignment horizontal="center" vertical="center" wrapText="1"/>
    </xf>
    <xf numFmtId="20" fontId="15" fillId="19" borderId="18" xfId="0" applyNumberFormat="1" applyFont="1" applyFill="1" applyBorder="1" applyAlignment="1">
      <alignment horizontal="center" vertical="center" wrapText="1"/>
    </xf>
    <xf numFmtId="164" fontId="8" fillId="6" borderId="30" xfId="0" applyNumberFormat="1" applyFont="1" applyFill="1" applyBorder="1" applyAlignment="1">
      <alignment horizontal="center" wrapText="1"/>
    </xf>
    <xf numFmtId="164" fontId="8" fillId="6" borderId="31" xfId="0" applyNumberFormat="1" applyFont="1" applyFill="1" applyBorder="1" applyAlignment="1">
      <alignment horizontal="center" wrapText="1"/>
    </xf>
    <xf numFmtId="164" fontId="8" fillId="7" borderId="30" xfId="0" applyNumberFormat="1" applyFont="1" applyFill="1" applyBorder="1" applyAlignment="1">
      <alignment horizontal="center" wrapText="1"/>
    </xf>
    <xf numFmtId="164" fontId="8" fillId="7" borderId="31" xfId="0" applyNumberFormat="1" applyFont="1" applyFill="1" applyBorder="1" applyAlignment="1">
      <alignment horizontal="center" wrapText="1"/>
    </xf>
    <xf numFmtId="164" fontId="8" fillId="8" borderId="30" xfId="0" applyNumberFormat="1" applyFont="1" applyFill="1" applyBorder="1" applyAlignment="1">
      <alignment horizontal="center" vertical="center" wrapText="1"/>
    </xf>
    <xf numFmtId="164" fontId="8" fillId="8" borderId="31" xfId="0" applyNumberFormat="1" applyFont="1" applyFill="1" applyBorder="1" applyAlignment="1">
      <alignment horizontal="center" vertical="center" wrapText="1"/>
    </xf>
    <xf numFmtId="164" fontId="8" fillId="4" borderId="30" xfId="0" applyNumberFormat="1" applyFont="1" applyFill="1" applyBorder="1" applyAlignment="1">
      <alignment horizontal="center" wrapText="1"/>
    </xf>
    <xf numFmtId="164" fontId="8" fillId="4" borderId="31" xfId="0" applyNumberFormat="1" applyFont="1" applyFill="1" applyBorder="1" applyAlignment="1">
      <alignment horizontal="center" wrapText="1"/>
    </xf>
    <xf numFmtId="164" fontId="8" fillId="9" borderId="30" xfId="0" applyNumberFormat="1" applyFont="1" applyFill="1" applyBorder="1" applyAlignment="1">
      <alignment horizontal="center" wrapText="1"/>
    </xf>
    <xf numFmtId="164" fontId="8" fillId="9" borderId="31" xfId="0" applyNumberFormat="1" applyFont="1" applyFill="1" applyBorder="1" applyAlignment="1">
      <alignment horizontal="center" wrapText="1"/>
    </xf>
    <xf numFmtId="0" fontId="20" fillId="8" borderId="18" xfId="1" applyFont="1" applyFill="1" applyBorder="1" applyAlignment="1">
      <alignment horizontal="center" wrapText="1"/>
    </xf>
    <xf numFmtId="0" fontId="12" fillId="9" borderId="17" xfId="0" applyFont="1" applyFill="1" applyBorder="1" applyAlignment="1">
      <alignment horizontal="center" wrapText="1"/>
    </xf>
    <xf numFmtId="0" fontId="12" fillId="9" borderId="18" xfId="0" applyFont="1" applyFill="1" applyBorder="1" applyAlignment="1">
      <alignment horizontal="center" wrapText="1"/>
    </xf>
    <xf numFmtId="0" fontId="2" fillId="0" borderId="0" xfId="0" applyFont="1"/>
    <xf numFmtId="0" fontId="4" fillId="0" borderId="7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4" xfId="0" applyFont="1" applyBorder="1"/>
    <xf numFmtId="0" fontId="4" fillId="0" borderId="6" xfId="0" applyFont="1" applyBorder="1"/>
    <xf numFmtId="0" fontId="5" fillId="2" borderId="2" xfId="0" applyFont="1" applyFill="1" applyBorder="1" applyAlignment="1">
      <alignment horizontal="right" vertical="center"/>
    </xf>
    <xf numFmtId="0" fontId="4" fillId="0" borderId="3" xfId="0" applyFont="1" applyBorder="1"/>
    <xf numFmtId="0" fontId="4" fillId="0" borderId="5" xfId="0" applyFont="1" applyBorder="1"/>
    <xf numFmtId="0" fontId="4" fillId="0" borderId="8" xfId="0" applyFont="1" applyBorder="1"/>
    <xf numFmtId="0" fontId="17" fillId="3" borderId="0" xfId="1" applyFont="1" applyFill="1" applyAlignment="1">
      <alignment horizontal="center" vertical="center"/>
    </xf>
    <xf numFmtId="0" fontId="17" fillId="0" borderId="5" xfId="1" applyFont="1" applyBorder="1"/>
    <xf numFmtId="0" fontId="17" fillId="0" borderId="7" xfId="1" applyFont="1" applyBorder="1"/>
    <xf numFmtId="0" fontId="17" fillId="0" borderId="8" xfId="1" applyFont="1" applyBorder="1"/>
    <xf numFmtId="0" fontId="18" fillId="3" borderId="0" xfId="0" applyFont="1" applyFill="1" applyAlignment="1">
      <alignment horizontal="right" vertical="center"/>
    </xf>
    <xf numFmtId="0" fontId="18" fillId="0" borderId="5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3" borderId="0" xfId="0" applyFont="1" applyFill="1" applyAlignment="1">
      <alignment horizontal="center" vertical="center"/>
    </xf>
    <xf numFmtId="0" fontId="18" fillId="3" borderId="0" xfId="1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8" fillId="0" borderId="5" xfId="0" applyFont="1" applyBorder="1" applyAlignment="1">
      <alignment horizontal="right"/>
    </xf>
    <xf numFmtId="0" fontId="18" fillId="0" borderId="7" xfId="0" applyFont="1" applyBorder="1" applyAlignment="1">
      <alignment horizontal="right"/>
    </xf>
    <xf numFmtId="0" fontId="18" fillId="0" borderId="8" xfId="0" applyFont="1" applyBorder="1" applyAlignment="1">
      <alignment horizontal="right"/>
    </xf>
    <xf numFmtId="164" fontId="8" fillId="6" borderId="24" xfId="0" applyNumberFormat="1" applyFont="1" applyFill="1" applyBorder="1" applyAlignment="1">
      <alignment horizontal="center" wrapText="1"/>
    </xf>
    <xf numFmtId="164" fontId="8" fillId="6" borderId="26" xfId="0" applyNumberFormat="1" applyFont="1" applyFill="1" applyBorder="1" applyAlignment="1">
      <alignment horizontal="center" wrapText="1"/>
    </xf>
    <xf numFmtId="164" fontId="8" fillId="7" borderId="24" xfId="0" applyNumberFormat="1" applyFont="1" applyFill="1" applyBorder="1" applyAlignment="1">
      <alignment horizontal="center" wrapText="1"/>
    </xf>
    <xf numFmtId="164" fontId="8" fillId="7" borderId="26" xfId="0" applyNumberFormat="1" applyFont="1" applyFill="1" applyBorder="1" applyAlignment="1">
      <alignment horizontal="center" wrapText="1"/>
    </xf>
    <xf numFmtId="164" fontId="8" fillId="8" borderId="24" xfId="0" applyNumberFormat="1" applyFont="1" applyFill="1" applyBorder="1" applyAlignment="1">
      <alignment horizontal="center" vertical="center" wrapText="1"/>
    </xf>
    <xf numFmtId="164" fontId="8" fillId="8" borderId="26" xfId="0" applyNumberFormat="1" applyFont="1" applyFill="1" applyBorder="1" applyAlignment="1">
      <alignment horizontal="center" vertical="center" wrapText="1"/>
    </xf>
    <xf numFmtId="164" fontId="8" fillId="4" borderId="24" xfId="0" applyNumberFormat="1" applyFont="1" applyFill="1" applyBorder="1" applyAlignment="1">
      <alignment horizontal="center" wrapText="1"/>
    </xf>
    <xf numFmtId="164" fontId="8" fillId="4" borderId="26" xfId="0" applyNumberFormat="1" applyFont="1" applyFill="1" applyBorder="1" applyAlignment="1">
      <alignment horizontal="center" wrapText="1"/>
    </xf>
    <xf numFmtId="164" fontId="8" fillId="9" borderId="24" xfId="0" applyNumberFormat="1" applyFont="1" applyFill="1" applyBorder="1" applyAlignment="1">
      <alignment horizontal="center" wrapText="1"/>
    </xf>
    <xf numFmtId="164" fontId="8" fillId="9" borderId="26" xfId="0" applyNumberFormat="1" applyFont="1" applyFill="1" applyBorder="1" applyAlignment="1">
      <alignment horizontal="center" wrapText="1"/>
    </xf>
    <xf numFmtId="0" fontId="10" fillId="5" borderId="24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Mw1AHACAdGUkTvgauub_uPHwBdhRMryS/view?usp=drive_link" TargetMode="External"/><Relationship Id="rId13" Type="http://schemas.openxmlformats.org/officeDocument/2006/relationships/hyperlink" Target="https://drive.google.com/file/d/10lGrgxugORrOBqa1yF4VKqIp2aBDAuvJ/view?usp=drive_link" TargetMode="External"/><Relationship Id="rId3" Type="http://schemas.openxmlformats.org/officeDocument/2006/relationships/hyperlink" Target="https://github.com/RicardoTechDev/Reinventate_SENCE_RTD-24-01-01-0001-2" TargetMode="External"/><Relationship Id="rId7" Type="http://schemas.openxmlformats.org/officeDocument/2006/relationships/hyperlink" Target="https://drive.google.com/file/d/1Or1VMMfrVuzIdpOpkrw0GqF5riKr7vOU/view?usp=drive_link" TargetMode="External"/><Relationship Id="rId12" Type="http://schemas.openxmlformats.org/officeDocument/2006/relationships/hyperlink" Target="https://drive.google.com/file/d/1xZ-AiOr7ylRssUJLlE6LBaRAY6DIk_d9/view?usp=drive_link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github.com/cindychateau/BOTIC-SOFOF-24-28-13-0074" TargetMode="External"/><Relationship Id="rId16" Type="http://schemas.openxmlformats.org/officeDocument/2006/relationships/hyperlink" Target="https://drive.google.com/file/d/1A9TA4pIFEbLIBLvAb98AI9CONAf_jbqN/view?usp=drive_link" TargetMode="External"/><Relationship Id="rId1" Type="http://schemas.openxmlformats.org/officeDocument/2006/relationships/hyperlink" Target="https://drive.google.com/drive/folders/1Ixx2sQZmpFpAVpy4EIwWqKmz_K9j2r0t?usp=sharing" TargetMode="External"/><Relationship Id="rId6" Type="http://schemas.openxmlformats.org/officeDocument/2006/relationships/hyperlink" Target="https://drive.google.com/file/d/1nYAO2QeU3Q-QVtngrR609gnCI9Z1z60k/view?usp=drive_link" TargetMode="External"/><Relationship Id="rId11" Type="http://schemas.openxmlformats.org/officeDocument/2006/relationships/hyperlink" Target="https://drive.google.com/file/d/1TW-OScKdzM6WOzszLJida58XU69Qs-ox/view?usp=drive_link" TargetMode="External"/><Relationship Id="rId5" Type="http://schemas.openxmlformats.org/officeDocument/2006/relationships/hyperlink" Target="https://drive.google.com/file/d/1PvWGVaI-TbfEQNmqn6Lyyg_bjM8o2W1d/view?usp=drive_link" TargetMode="External"/><Relationship Id="rId15" Type="http://schemas.openxmlformats.org/officeDocument/2006/relationships/hyperlink" Target="https://drive.google.com/file/d/1V5XPIp0RC_RRmJKvzlmGQNoDf-WQMhIa/view?usp=drive_link" TargetMode="External"/><Relationship Id="rId10" Type="http://schemas.openxmlformats.org/officeDocument/2006/relationships/hyperlink" Target="https://drive.google.com/file/d/1nd71NxLHb4HFl0FRny18uFefzXn3_mOr/view?usp=drive_link" TargetMode="External"/><Relationship Id="rId4" Type="http://schemas.openxmlformats.org/officeDocument/2006/relationships/hyperlink" Target="https://drive.google.com/open?id=1XOE261G6SxVS7sF3TiUluheoH5LZaGYa&amp;usp=drive_copy" TargetMode="External"/><Relationship Id="rId9" Type="http://schemas.openxmlformats.org/officeDocument/2006/relationships/hyperlink" Target="mailto:ricardovega@ecas-otec.cl" TargetMode="External"/><Relationship Id="rId14" Type="http://schemas.openxmlformats.org/officeDocument/2006/relationships/hyperlink" Target="https://drive.google.com/file/d/1HPjQx09u2Y00QzUA1Sb-04HltDwICeg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9"/>
  <sheetViews>
    <sheetView tabSelected="1" topLeftCell="A205" zoomScale="120" zoomScaleNormal="120" workbookViewId="0">
      <selection activeCell="G143" sqref="G143"/>
    </sheetView>
  </sheetViews>
  <sheetFormatPr baseColWidth="10" defaultColWidth="9.140625" defaultRowHeight="15"/>
  <cols>
    <col min="1" max="1" width="2.5703125" style="49" customWidth="1"/>
    <col min="2" max="2" width="6.140625" style="49" bestFit="1" customWidth="1"/>
    <col min="3" max="3" width="38.5703125" style="49" customWidth="1"/>
    <col min="4" max="4" width="6" style="49" customWidth="1"/>
    <col min="5" max="5" width="38.5703125" style="49" customWidth="1"/>
    <col min="6" max="6" width="5.85546875" style="49" customWidth="1"/>
    <col min="7" max="7" width="38.5703125" style="49" customWidth="1"/>
    <col min="8" max="8" width="6.140625" style="49" bestFit="1" customWidth="1"/>
    <col min="9" max="9" width="38.5703125" style="49" customWidth="1"/>
    <col min="10" max="10" width="6.140625" style="49" bestFit="1" customWidth="1"/>
    <col min="11" max="11" width="38.5703125" style="49" customWidth="1"/>
  </cols>
  <sheetData>
    <row r="1" spans="1:11">
      <c r="A1" s="1" t="s">
        <v>0</v>
      </c>
      <c r="B1" s="121"/>
      <c r="C1" s="60"/>
      <c r="D1" s="123" t="s">
        <v>1</v>
      </c>
      <c r="E1" s="124"/>
      <c r="F1" s="124"/>
      <c r="G1" s="124"/>
      <c r="H1" s="124"/>
      <c r="I1" s="124"/>
      <c r="J1" s="127"/>
      <c r="K1" s="128"/>
    </row>
    <row r="2" spans="1:11">
      <c r="A2" s="1"/>
      <c r="B2" s="60"/>
      <c r="C2" s="60"/>
      <c r="D2" s="125"/>
      <c r="E2" s="60"/>
      <c r="F2" s="60"/>
      <c r="G2" s="60"/>
      <c r="H2" s="60"/>
      <c r="I2" s="60"/>
      <c r="J2" s="60"/>
      <c r="K2" s="129"/>
    </row>
    <row r="3" spans="1:11">
      <c r="A3" s="1"/>
      <c r="B3" s="60"/>
      <c r="C3" s="60"/>
      <c r="D3" s="125"/>
      <c r="E3" s="60"/>
      <c r="F3" s="60"/>
      <c r="G3" s="60"/>
      <c r="H3" s="60"/>
      <c r="I3" s="60"/>
      <c r="J3" s="60"/>
      <c r="K3" s="129"/>
    </row>
    <row r="4" spans="1:11">
      <c r="A4" s="1"/>
      <c r="B4" s="60"/>
      <c r="C4" s="60"/>
      <c r="D4" s="125"/>
      <c r="E4" s="60"/>
      <c r="F4" s="60"/>
      <c r="G4" s="60"/>
      <c r="H4" s="60"/>
      <c r="I4" s="60"/>
      <c r="J4" s="60"/>
      <c r="K4" s="129"/>
    </row>
    <row r="5" spans="1:11">
      <c r="A5" s="1"/>
      <c r="B5" s="60"/>
      <c r="C5" s="60"/>
      <c r="D5" s="125"/>
      <c r="E5" s="60"/>
      <c r="F5" s="60"/>
      <c r="G5" s="60"/>
      <c r="H5" s="60"/>
      <c r="I5" s="60"/>
      <c r="J5" s="60"/>
      <c r="K5" s="129"/>
    </row>
    <row r="6" spans="1:11">
      <c r="A6" s="1"/>
      <c r="B6" s="60"/>
      <c r="C6" s="60"/>
      <c r="D6" s="126"/>
      <c r="E6" s="122"/>
      <c r="F6" s="122"/>
      <c r="G6" s="122"/>
      <c r="H6" s="122"/>
      <c r="I6" s="122"/>
      <c r="J6" s="60"/>
      <c r="K6" s="129"/>
    </row>
    <row r="7" spans="1:11" ht="18">
      <c r="A7" s="2"/>
      <c r="B7" s="122"/>
      <c r="C7" s="122"/>
      <c r="D7" s="3"/>
      <c r="E7" s="3"/>
      <c r="F7" s="3"/>
      <c r="G7" s="3"/>
      <c r="H7" s="3"/>
      <c r="I7" s="4"/>
      <c r="J7" s="122"/>
      <c r="K7" s="130"/>
    </row>
    <row r="8" spans="1:11">
      <c r="A8" s="2"/>
      <c r="B8" s="131" t="s">
        <v>2</v>
      </c>
      <c r="C8" s="132"/>
      <c r="D8" s="131" t="s">
        <v>3</v>
      </c>
      <c r="E8" s="132"/>
      <c r="F8" s="135" t="s">
        <v>4</v>
      </c>
      <c r="G8" s="136"/>
      <c r="H8" s="139" t="s">
        <v>5</v>
      </c>
      <c r="I8" s="136"/>
      <c r="J8" s="140" t="s">
        <v>13</v>
      </c>
      <c r="K8" s="136"/>
    </row>
    <row r="9" spans="1:11">
      <c r="A9" s="2"/>
      <c r="B9" s="133"/>
      <c r="C9" s="134"/>
      <c r="D9" s="133"/>
      <c r="E9" s="134"/>
      <c r="F9" s="137"/>
      <c r="G9" s="138"/>
      <c r="H9" s="137"/>
      <c r="I9" s="138"/>
      <c r="J9" s="137"/>
      <c r="K9" s="138"/>
    </row>
    <row r="10" spans="1:11">
      <c r="A10" s="2"/>
      <c r="B10" s="141"/>
      <c r="C10" s="136"/>
      <c r="D10" s="141"/>
      <c r="E10" s="136"/>
      <c r="F10" s="135" t="s">
        <v>96</v>
      </c>
      <c r="G10" s="142"/>
      <c r="H10" s="139" t="s">
        <v>95</v>
      </c>
      <c r="I10" s="136"/>
      <c r="J10" s="139" t="s">
        <v>94</v>
      </c>
      <c r="K10" s="136"/>
    </row>
    <row r="11" spans="1:11" ht="13.5" customHeight="1">
      <c r="A11" s="2"/>
      <c r="B11" s="137"/>
      <c r="C11" s="138"/>
      <c r="D11" s="137"/>
      <c r="E11" s="138"/>
      <c r="F11" s="143"/>
      <c r="G11" s="144"/>
      <c r="H11" s="137"/>
      <c r="I11" s="138"/>
      <c r="J11" s="137"/>
      <c r="K11" s="138"/>
    </row>
    <row r="12" spans="1:11" ht="2.25" hidden="1" customHeight="1">
      <c r="A12" s="2"/>
      <c r="B12" s="61" t="s">
        <v>6</v>
      </c>
      <c r="C12" s="60"/>
      <c r="D12" s="62">
        <v>0.79166666666666663</v>
      </c>
      <c r="E12" s="60"/>
      <c r="F12" s="59" t="s">
        <v>7</v>
      </c>
      <c r="G12" s="60"/>
      <c r="H12" s="50"/>
      <c r="I12" s="50"/>
      <c r="J12" s="50"/>
      <c r="K12" s="50"/>
    </row>
    <row r="13" spans="1:11" ht="22.5" customHeight="1">
      <c r="A13" s="2"/>
      <c r="B13" s="71" t="s">
        <v>12</v>
      </c>
      <c r="C13" s="89"/>
      <c r="D13" s="89"/>
      <c r="E13" s="89"/>
      <c r="F13" s="89"/>
      <c r="G13" s="89"/>
      <c r="H13" s="89"/>
      <c r="I13" s="89"/>
      <c r="J13" s="89"/>
      <c r="K13" s="90"/>
    </row>
    <row r="14" spans="1:11" ht="15" customHeight="1">
      <c r="A14" s="2"/>
      <c r="B14" s="91"/>
      <c r="C14" s="92"/>
      <c r="D14" s="92"/>
      <c r="E14" s="92"/>
      <c r="F14" s="92"/>
      <c r="G14" s="92"/>
      <c r="H14" s="92"/>
      <c r="I14" s="92"/>
      <c r="J14" s="92"/>
      <c r="K14" s="93"/>
    </row>
    <row r="15" spans="1:11">
      <c r="A15" s="5"/>
      <c r="B15" s="108">
        <v>45978</v>
      </c>
      <c r="C15" s="109"/>
      <c r="D15" s="110">
        <f>B15+1</f>
        <v>45979</v>
      </c>
      <c r="E15" s="111"/>
      <c r="F15" s="112">
        <f>D15+1</f>
        <v>45980</v>
      </c>
      <c r="G15" s="113"/>
      <c r="H15" s="114">
        <f>F15+1</f>
        <v>45981</v>
      </c>
      <c r="I15" s="115"/>
      <c r="J15" s="116">
        <f>H15+1</f>
        <v>45982</v>
      </c>
      <c r="K15" s="117"/>
    </row>
    <row r="16" spans="1:11">
      <c r="A16" s="5"/>
      <c r="B16" s="63"/>
      <c r="C16" s="94"/>
      <c r="D16" s="65"/>
      <c r="E16" s="95"/>
      <c r="F16" s="66"/>
      <c r="G16" s="96"/>
      <c r="H16" s="67"/>
      <c r="I16" s="97"/>
      <c r="J16" s="68"/>
      <c r="K16" s="98"/>
    </row>
    <row r="17" spans="1:11">
      <c r="A17" s="6"/>
      <c r="B17" s="7">
        <f>D12</f>
        <v>0.79166666666666663</v>
      </c>
      <c r="C17" s="8"/>
      <c r="D17" s="9">
        <f>D12</f>
        <v>0.79166666666666663</v>
      </c>
      <c r="E17" s="43"/>
      <c r="F17" s="10">
        <f>D12</f>
        <v>0.79166666666666663</v>
      </c>
      <c r="G17" s="11"/>
      <c r="H17" s="9">
        <f>D12</f>
        <v>0.79166666666666663</v>
      </c>
      <c r="I17" s="12"/>
      <c r="J17" s="13">
        <f>D12</f>
        <v>0.79166666666666663</v>
      </c>
      <c r="K17" s="45"/>
    </row>
    <row r="18" spans="1:11">
      <c r="A18" s="6"/>
      <c r="B18" s="14"/>
      <c r="C18" s="15"/>
      <c r="D18" s="16"/>
      <c r="E18" s="46"/>
      <c r="F18" s="17"/>
      <c r="G18" s="18"/>
      <c r="H18" s="16"/>
      <c r="I18" s="19"/>
      <c r="J18" s="20"/>
      <c r="K18" s="28"/>
    </row>
    <row r="19" spans="1:11">
      <c r="A19" s="6"/>
      <c r="B19" s="7"/>
      <c r="C19" s="21"/>
      <c r="D19" s="22"/>
      <c r="E19" s="47"/>
      <c r="F19" s="23"/>
      <c r="G19" s="24"/>
      <c r="H19" s="22"/>
      <c r="I19" s="25"/>
      <c r="J19" s="13"/>
      <c r="K19" s="45"/>
    </row>
    <row r="20" spans="1:11">
      <c r="A20" s="27"/>
      <c r="B20" s="14"/>
      <c r="C20" s="15"/>
      <c r="D20" s="16"/>
      <c r="E20" s="46"/>
      <c r="F20" s="16"/>
      <c r="G20" s="18"/>
      <c r="H20" s="16"/>
      <c r="I20" s="19"/>
      <c r="J20" s="16"/>
      <c r="K20" s="28"/>
    </row>
    <row r="21" spans="1:11">
      <c r="A21" s="29"/>
      <c r="B21" s="30"/>
      <c r="C21" s="21"/>
      <c r="D21" s="31"/>
      <c r="E21" s="47"/>
      <c r="F21" s="32"/>
      <c r="G21" s="24"/>
      <c r="H21" s="33"/>
      <c r="I21" s="25"/>
      <c r="J21" s="34"/>
      <c r="K21" s="26"/>
    </row>
    <row r="22" spans="1:11">
      <c r="A22" s="29"/>
      <c r="B22" s="35"/>
      <c r="C22" s="15"/>
      <c r="D22" s="36"/>
      <c r="E22" s="46"/>
      <c r="F22" s="36"/>
      <c r="G22" s="18"/>
      <c r="H22" s="36"/>
      <c r="I22" s="19"/>
      <c r="J22" s="37"/>
      <c r="K22" s="28"/>
    </row>
    <row r="23" spans="1:11">
      <c r="A23" s="29"/>
      <c r="B23" s="30"/>
      <c r="C23" s="21"/>
      <c r="D23" s="31"/>
      <c r="E23" s="47"/>
      <c r="F23" s="32"/>
      <c r="G23" s="24"/>
      <c r="H23" s="33"/>
      <c r="I23" s="25"/>
      <c r="J23" s="34"/>
      <c r="K23" s="48"/>
    </row>
    <row r="24" spans="1:11">
      <c r="A24" s="27"/>
      <c r="B24" s="99"/>
      <c r="C24" s="100"/>
      <c r="D24" s="100"/>
      <c r="E24" s="100"/>
      <c r="F24" s="100"/>
      <c r="G24" s="100"/>
      <c r="H24" s="100"/>
      <c r="I24" s="100"/>
      <c r="J24" s="100"/>
      <c r="K24" s="101"/>
    </row>
    <row r="25" spans="1:11">
      <c r="A25" s="2"/>
      <c r="B25" s="38"/>
      <c r="C25" s="38"/>
      <c r="D25" s="38"/>
      <c r="E25" s="38"/>
      <c r="F25" s="38"/>
      <c r="G25" s="38"/>
      <c r="H25" s="38"/>
      <c r="I25" s="38"/>
      <c r="J25" s="38"/>
      <c r="K25" s="38"/>
    </row>
    <row r="26" spans="1:11" ht="15" customHeight="1">
      <c r="A26" s="2"/>
      <c r="B26" s="155" t="s">
        <v>8</v>
      </c>
      <c r="C26" s="156"/>
      <c r="D26" s="156"/>
      <c r="E26" s="156"/>
      <c r="F26" s="156"/>
      <c r="G26" s="156"/>
      <c r="H26" s="156"/>
      <c r="I26" s="156"/>
      <c r="J26" s="156"/>
      <c r="K26" s="157"/>
    </row>
    <row r="27" spans="1:11">
      <c r="A27" s="2"/>
      <c r="B27" s="158"/>
      <c r="C27" s="159"/>
      <c r="D27" s="159"/>
      <c r="E27" s="159"/>
      <c r="F27" s="159"/>
      <c r="G27" s="159"/>
      <c r="H27" s="159"/>
      <c r="I27" s="159"/>
      <c r="J27" s="159"/>
      <c r="K27" s="160"/>
    </row>
    <row r="28" spans="1:11">
      <c r="A28" s="5"/>
      <c r="B28" s="145">
        <f>J15+3</f>
        <v>45985</v>
      </c>
      <c r="C28" s="146"/>
      <c r="D28" s="147">
        <f>B28+1</f>
        <v>45986</v>
      </c>
      <c r="E28" s="148"/>
      <c r="F28" s="149">
        <f>D28+1</f>
        <v>45987</v>
      </c>
      <c r="G28" s="150"/>
      <c r="H28" s="151">
        <f>F28+1</f>
        <v>45988</v>
      </c>
      <c r="I28" s="152"/>
      <c r="J28" s="153">
        <f>H28+1</f>
        <v>45989</v>
      </c>
      <c r="K28" s="154"/>
    </row>
    <row r="29" spans="1:11">
      <c r="A29" s="5"/>
      <c r="B29" s="63"/>
      <c r="C29" s="94"/>
      <c r="D29" s="65"/>
      <c r="E29" s="95"/>
      <c r="F29" s="66"/>
      <c r="G29" s="96"/>
      <c r="H29" s="67"/>
      <c r="I29" s="97"/>
      <c r="J29" s="119"/>
      <c r="K29" s="120"/>
    </row>
    <row r="30" spans="1:11">
      <c r="A30" s="6"/>
      <c r="B30" s="39">
        <f>D12</f>
        <v>0.79166666666666663</v>
      </c>
      <c r="C30" s="8"/>
      <c r="D30" s="40">
        <f>D12</f>
        <v>0.79166666666666663</v>
      </c>
      <c r="E30" s="43"/>
      <c r="F30" s="10">
        <f>D12</f>
        <v>0.79166666666666663</v>
      </c>
      <c r="G30" s="11"/>
      <c r="H30" s="41">
        <f>D12</f>
        <v>0.79166666666666663</v>
      </c>
      <c r="I30" s="12"/>
      <c r="J30" s="39">
        <f>D12</f>
        <v>0.79166666666666663</v>
      </c>
      <c r="K30" s="45"/>
    </row>
    <row r="31" spans="1:11">
      <c r="A31" s="6"/>
      <c r="B31" s="14"/>
      <c r="C31" s="15"/>
      <c r="D31" s="17"/>
      <c r="E31" s="46"/>
      <c r="F31" s="17"/>
      <c r="G31" s="18"/>
      <c r="H31" s="17"/>
      <c r="I31" s="19"/>
      <c r="J31" s="14"/>
      <c r="K31" s="28"/>
    </row>
    <row r="32" spans="1:11">
      <c r="A32" s="6"/>
      <c r="B32" s="7"/>
      <c r="C32" s="21"/>
      <c r="D32" s="22"/>
      <c r="E32" s="47"/>
      <c r="F32" s="23"/>
      <c r="G32" s="24"/>
      <c r="H32" s="42"/>
      <c r="I32" s="25"/>
      <c r="J32" s="7"/>
      <c r="K32" s="45"/>
    </row>
    <row r="33" spans="1:11">
      <c r="A33" s="27"/>
      <c r="B33" s="14"/>
      <c r="C33" s="15"/>
      <c r="D33" s="17"/>
      <c r="E33" s="46"/>
      <c r="F33" s="17"/>
      <c r="G33" s="18"/>
      <c r="H33" s="17"/>
      <c r="I33" s="19"/>
      <c r="J33" s="14"/>
      <c r="K33" s="28"/>
    </row>
    <row r="34" spans="1:11">
      <c r="A34" s="29"/>
      <c r="B34" s="30"/>
      <c r="C34" s="21"/>
      <c r="D34" s="31"/>
      <c r="E34" s="47"/>
      <c r="F34" s="32"/>
      <c r="G34" s="24"/>
      <c r="H34" s="33"/>
      <c r="I34" s="25"/>
      <c r="J34" s="30"/>
      <c r="K34" s="26"/>
    </row>
    <row r="35" spans="1:11">
      <c r="A35" s="29"/>
      <c r="B35" s="35"/>
      <c r="C35" s="15"/>
      <c r="D35" s="36"/>
      <c r="E35" s="46"/>
      <c r="F35" s="36"/>
      <c r="G35" s="18"/>
      <c r="H35" s="36"/>
      <c r="I35" s="19"/>
      <c r="J35" s="35"/>
      <c r="K35" s="28"/>
    </row>
    <row r="36" spans="1:11">
      <c r="A36" s="29"/>
      <c r="B36" s="30"/>
      <c r="C36" s="21"/>
      <c r="D36" s="31"/>
      <c r="E36" s="47"/>
      <c r="F36" s="32"/>
      <c r="G36" s="24"/>
      <c r="H36" s="33"/>
      <c r="I36" s="25"/>
      <c r="J36" s="30"/>
      <c r="K36" s="48"/>
    </row>
    <row r="37" spans="1:11">
      <c r="A37" s="27"/>
      <c r="B37" s="99"/>
      <c r="C37" s="100"/>
      <c r="D37" s="100"/>
      <c r="E37" s="100"/>
      <c r="F37" s="100"/>
      <c r="G37" s="100"/>
      <c r="H37" s="100"/>
      <c r="I37" s="100"/>
      <c r="J37" s="100"/>
      <c r="K37" s="101"/>
    </row>
    <row r="38" spans="1:11">
      <c r="A38" s="2"/>
      <c r="B38" s="38"/>
      <c r="C38" s="38"/>
      <c r="D38" s="38"/>
      <c r="E38" s="38"/>
      <c r="F38" s="38"/>
      <c r="G38" s="38"/>
      <c r="H38" s="38"/>
      <c r="I38" s="38"/>
      <c r="J38" s="38"/>
      <c r="K38" s="38"/>
    </row>
    <row r="39" spans="1:11" ht="15" customHeight="1">
      <c r="A39" s="2"/>
      <c r="B39" s="71" t="s">
        <v>9</v>
      </c>
      <c r="C39" s="89"/>
      <c r="D39" s="89"/>
      <c r="E39" s="89"/>
      <c r="F39" s="89"/>
      <c r="G39" s="89"/>
      <c r="H39" s="89"/>
      <c r="I39" s="89"/>
      <c r="J39" s="89"/>
      <c r="K39" s="90"/>
    </row>
    <row r="40" spans="1:11">
      <c r="A40" s="2"/>
      <c r="B40" s="91"/>
      <c r="C40" s="92"/>
      <c r="D40" s="92"/>
      <c r="E40" s="92"/>
      <c r="F40" s="92"/>
      <c r="G40" s="92"/>
      <c r="H40" s="92"/>
      <c r="I40" s="92"/>
      <c r="J40" s="92"/>
      <c r="K40" s="93"/>
    </row>
    <row r="41" spans="1:11">
      <c r="A41" s="2"/>
      <c r="B41" s="108">
        <f>J28+3</f>
        <v>45992</v>
      </c>
      <c r="C41" s="109"/>
      <c r="D41" s="110">
        <f>B41+1</f>
        <v>45993</v>
      </c>
      <c r="E41" s="111"/>
      <c r="F41" s="112">
        <f>D41+1</f>
        <v>45994</v>
      </c>
      <c r="G41" s="113"/>
      <c r="H41" s="114">
        <f>F41+1</f>
        <v>45995</v>
      </c>
      <c r="I41" s="115"/>
      <c r="J41" s="116">
        <f>H41+1</f>
        <v>45996</v>
      </c>
      <c r="K41" s="117"/>
    </row>
    <row r="42" spans="1:11" ht="15" customHeight="1">
      <c r="A42" s="2"/>
      <c r="B42" s="63"/>
      <c r="C42" s="94"/>
      <c r="D42" s="65"/>
      <c r="E42" s="95"/>
      <c r="F42" s="86" t="s">
        <v>16</v>
      </c>
      <c r="G42" s="118"/>
      <c r="H42" s="67"/>
      <c r="I42" s="97"/>
      <c r="J42" s="68"/>
      <c r="K42" s="98"/>
    </row>
    <row r="43" spans="1:11">
      <c r="A43" s="2"/>
      <c r="B43" s="39">
        <f>D12</f>
        <v>0.79166666666666663</v>
      </c>
      <c r="C43" s="8"/>
      <c r="D43" s="40">
        <f>D12</f>
        <v>0.79166666666666663</v>
      </c>
      <c r="E43" s="43"/>
      <c r="F43" s="10">
        <f>D12</f>
        <v>0.79166666666666663</v>
      </c>
      <c r="G43" s="11" t="s">
        <v>15</v>
      </c>
      <c r="H43" s="41">
        <f>D12</f>
        <v>0.79166666666666663</v>
      </c>
      <c r="I43" s="12" t="s">
        <v>37</v>
      </c>
      <c r="J43" s="44">
        <f>D12</f>
        <v>0.79166666666666663</v>
      </c>
      <c r="K43" s="45" t="s">
        <v>28</v>
      </c>
    </row>
    <row r="44" spans="1:11">
      <c r="A44" s="2"/>
      <c r="B44" s="14"/>
      <c r="C44" s="15"/>
      <c r="D44" s="17"/>
      <c r="E44" s="46"/>
      <c r="F44" s="17"/>
      <c r="G44" s="18"/>
      <c r="H44" s="17"/>
      <c r="I44" s="19" t="s">
        <v>38</v>
      </c>
      <c r="J44" s="20"/>
      <c r="K44" s="28" t="s">
        <v>29</v>
      </c>
    </row>
    <row r="45" spans="1:11">
      <c r="A45" s="2"/>
      <c r="B45" s="7"/>
      <c r="C45" s="21"/>
      <c r="D45" s="22"/>
      <c r="E45" s="47"/>
      <c r="F45" s="23"/>
      <c r="G45" s="24"/>
      <c r="H45" s="42"/>
      <c r="I45" s="25" t="s">
        <v>24</v>
      </c>
      <c r="J45" s="13"/>
      <c r="K45" s="45" t="s">
        <v>30</v>
      </c>
    </row>
    <row r="46" spans="1:11">
      <c r="A46" s="2"/>
      <c r="B46" s="14"/>
      <c r="C46" s="15"/>
      <c r="D46" s="17"/>
      <c r="E46" s="46"/>
      <c r="F46" s="17"/>
      <c r="G46" s="18"/>
      <c r="H46" s="17"/>
      <c r="I46" s="19" t="s">
        <v>25</v>
      </c>
      <c r="J46" s="20"/>
      <c r="K46" s="28" t="s">
        <v>31</v>
      </c>
    </row>
    <row r="47" spans="1:11">
      <c r="A47" s="2"/>
      <c r="B47" s="30"/>
      <c r="C47" s="21"/>
      <c r="D47" s="31"/>
      <c r="E47" s="47"/>
      <c r="F47" s="32"/>
      <c r="G47" s="51" t="s">
        <v>14</v>
      </c>
      <c r="H47" s="33"/>
      <c r="I47" s="25" t="s">
        <v>26</v>
      </c>
      <c r="J47" s="34"/>
      <c r="K47" s="26"/>
    </row>
    <row r="48" spans="1:11">
      <c r="A48" s="2"/>
      <c r="B48" s="35"/>
      <c r="C48" s="15"/>
      <c r="D48" s="36"/>
      <c r="E48" s="46"/>
      <c r="F48" s="36"/>
      <c r="G48" s="18"/>
      <c r="H48" s="36"/>
      <c r="I48" s="19" t="s">
        <v>27</v>
      </c>
      <c r="J48" s="37"/>
      <c r="K48" s="28"/>
    </row>
    <row r="49" spans="1:11">
      <c r="A49" s="2"/>
      <c r="B49" s="30"/>
      <c r="C49" s="21"/>
      <c r="D49" s="31"/>
      <c r="E49" s="47"/>
      <c r="F49" s="32"/>
      <c r="G49" s="24"/>
      <c r="H49" s="33"/>
      <c r="I49" s="52" t="s">
        <v>39</v>
      </c>
      <c r="J49" s="34"/>
      <c r="K49" s="52" t="s">
        <v>39</v>
      </c>
    </row>
    <row r="50" spans="1:11">
      <c r="A50" s="2"/>
      <c r="B50" s="99"/>
      <c r="C50" s="100"/>
      <c r="D50" s="100"/>
      <c r="E50" s="100"/>
      <c r="F50" s="100"/>
      <c r="G50" s="100"/>
      <c r="H50" s="100"/>
      <c r="I50" s="100"/>
      <c r="J50" s="100"/>
      <c r="K50" s="101"/>
    </row>
    <row r="51" spans="1:11">
      <c r="A51" s="2"/>
      <c r="B51" s="38"/>
      <c r="C51" s="38"/>
      <c r="D51" s="38"/>
      <c r="E51" s="38"/>
      <c r="F51" s="38"/>
      <c r="G51" s="38"/>
      <c r="H51" s="38"/>
      <c r="I51" s="38"/>
      <c r="J51" s="38"/>
      <c r="K51" s="38"/>
    </row>
    <row r="52" spans="1:11" ht="15" customHeight="1">
      <c r="B52" s="71" t="s">
        <v>10</v>
      </c>
      <c r="C52" s="89"/>
      <c r="D52" s="89"/>
      <c r="E52" s="89"/>
      <c r="F52" s="89"/>
      <c r="G52" s="89"/>
      <c r="H52" s="89"/>
      <c r="I52" s="89"/>
      <c r="J52" s="89"/>
      <c r="K52" s="90"/>
    </row>
    <row r="53" spans="1:11">
      <c r="B53" s="91"/>
      <c r="C53" s="92"/>
      <c r="D53" s="92"/>
      <c r="E53" s="92"/>
      <c r="F53" s="92"/>
      <c r="G53" s="92"/>
      <c r="H53" s="92"/>
      <c r="I53" s="92"/>
      <c r="J53" s="92"/>
      <c r="K53" s="93"/>
    </row>
    <row r="54" spans="1:11">
      <c r="B54" s="108">
        <f>J41+3</f>
        <v>45999</v>
      </c>
      <c r="C54" s="109"/>
      <c r="D54" s="110">
        <f>B54+1</f>
        <v>46000</v>
      </c>
      <c r="E54" s="111"/>
      <c r="F54" s="112">
        <f>D54+1</f>
        <v>46001</v>
      </c>
      <c r="G54" s="113"/>
      <c r="H54" s="114">
        <f>F54+1</f>
        <v>46002</v>
      </c>
      <c r="I54" s="115"/>
      <c r="J54" s="116">
        <f>H54+1</f>
        <v>46003</v>
      </c>
      <c r="K54" s="117"/>
    </row>
    <row r="55" spans="1:11">
      <c r="B55" s="63"/>
      <c r="C55" s="94"/>
      <c r="D55" s="65"/>
      <c r="E55" s="95"/>
      <c r="F55" s="66"/>
      <c r="G55" s="96"/>
      <c r="H55" s="67"/>
      <c r="I55" s="97"/>
      <c r="J55" s="68"/>
      <c r="K55" s="98"/>
    </row>
    <row r="56" spans="1:11" ht="15" customHeight="1">
      <c r="B56" s="102" t="s">
        <v>11</v>
      </c>
      <c r="C56" s="103"/>
      <c r="D56" s="40">
        <f>D12</f>
        <v>0.79166666666666663</v>
      </c>
      <c r="E56" s="43" t="s">
        <v>32</v>
      </c>
      <c r="F56" s="10">
        <f>D12</f>
        <v>0.79166666666666663</v>
      </c>
      <c r="G56" s="11" t="s">
        <v>36</v>
      </c>
      <c r="H56" s="41">
        <f>D12</f>
        <v>0.79166666666666663</v>
      </c>
      <c r="I56" s="12" t="s">
        <v>42</v>
      </c>
      <c r="J56" s="44">
        <f>D12</f>
        <v>0.79166666666666663</v>
      </c>
      <c r="K56" s="45" t="s">
        <v>28</v>
      </c>
    </row>
    <row r="57" spans="1:11" ht="15" customHeight="1">
      <c r="B57" s="104"/>
      <c r="C57" s="105"/>
      <c r="D57" s="17"/>
      <c r="E57" s="46" t="s">
        <v>33</v>
      </c>
      <c r="F57" s="17"/>
      <c r="G57" s="18"/>
      <c r="H57" s="17"/>
      <c r="I57" s="19"/>
      <c r="J57" s="20"/>
      <c r="K57" s="28" t="s">
        <v>30</v>
      </c>
    </row>
    <row r="58" spans="1:11" ht="15" customHeight="1">
      <c r="B58" s="104"/>
      <c r="C58" s="105"/>
      <c r="D58" s="22"/>
      <c r="E58" s="47" t="s">
        <v>34</v>
      </c>
      <c r="F58" s="23"/>
      <c r="G58" s="24"/>
      <c r="H58" s="42"/>
      <c r="I58" s="25"/>
      <c r="J58" s="13"/>
      <c r="K58" s="45" t="s">
        <v>31</v>
      </c>
    </row>
    <row r="59" spans="1:11" ht="15" customHeight="1">
      <c r="B59" s="104"/>
      <c r="C59" s="105"/>
      <c r="D59" s="17"/>
      <c r="E59" s="46" t="s">
        <v>35</v>
      </c>
      <c r="F59" s="17"/>
      <c r="G59" s="18"/>
      <c r="H59" s="17"/>
      <c r="I59" s="19"/>
      <c r="J59" s="20"/>
      <c r="K59" s="28" t="s">
        <v>43</v>
      </c>
    </row>
    <row r="60" spans="1:11" ht="15" customHeight="1">
      <c r="B60" s="104"/>
      <c r="C60" s="105"/>
      <c r="D60" s="31"/>
      <c r="E60" s="47"/>
      <c r="F60" s="32"/>
      <c r="G60" s="24"/>
      <c r="H60" s="33"/>
      <c r="I60" s="25"/>
      <c r="J60" s="34"/>
      <c r="K60" s="26"/>
    </row>
    <row r="61" spans="1:11" ht="15" customHeight="1">
      <c r="B61" s="104"/>
      <c r="C61" s="105"/>
      <c r="D61" s="36"/>
      <c r="E61" s="46"/>
      <c r="F61" s="36"/>
      <c r="G61" s="52" t="s">
        <v>40</v>
      </c>
      <c r="H61" s="36"/>
      <c r="I61" s="52" t="s">
        <v>41</v>
      </c>
      <c r="J61" s="37"/>
      <c r="K61" s="28"/>
    </row>
    <row r="62" spans="1:11" ht="15" customHeight="1">
      <c r="B62" s="106"/>
      <c r="C62" s="107"/>
      <c r="D62" s="31"/>
      <c r="E62" s="47"/>
      <c r="F62" s="32"/>
      <c r="G62" s="24"/>
      <c r="H62" s="33"/>
      <c r="I62" s="25"/>
      <c r="J62" s="34"/>
      <c r="K62" s="48"/>
    </row>
    <row r="63" spans="1:11">
      <c r="B63" s="99"/>
      <c r="C63" s="100"/>
      <c r="D63" s="100"/>
      <c r="E63" s="100"/>
      <c r="F63" s="100"/>
      <c r="G63" s="100"/>
      <c r="H63" s="100"/>
      <c r="I63" s="100"/>
      <c r="J63" s="100"/>
      <c r="K63" s="101"/>
    </row>
    <row r="65" spans="2:11" customFormat="1" ht="15" customHeight="1">
      <c r="B65" s="71" t="s">
        <v>44</v>
      </c>
      <c r="C65" s="89"/>
      <c r="D65" s="89"/>
      <c r="E65" s="89"/>
      <c r="F65" s="89"/>
      <c r="G65" s="89"/>
      <c r="H65" s="89"/>
      <c r="I65" s="89"/>
      <c r="J65" s="89"/>
      <c r="K65" s="90"/>
    </row>
    <row r="66" spans="2:11" customFormat="1">
      <c r="B66" s="91"/>
      <c r="C66" s="92"/>
      <c r="D66" s="92"/>
      <c r="E66" s="92"/>
      <c r="F66" s="92"/>
      <c r="G66" s="92"/>
      <c r="H66" s="92"/>
      <c r="I66" s="92"/>
      <c r="J66" s="92"/>
      <c r="K66" s="93"/>
    </row>
    <row r="67" spans="2:11" customFormat="1">
      <c r="B67" s="108">
        <f>J54+3</f>
        <v>46006</v>
      </c>
      <c r="C67" s="109"/>
      <c r="D67" s="110">
        <f>B67+1</f>
        <v>46007</v>
      </c>
      <c r="E67" s="111"/>
      <c r="F67" s="112">
        <f>D67+1</f>
        <v>46008</v>
      </c>
      <c r="G67" s="113"/>
      <c r="H67" s="114">
        <f>F67+1</f>
        <v>46009</v>
      </c>
      <c r="I67" s="115"/>
      <c r="J67" s="116">
        <f>H67+1</f>
        <v>46010</v>
      </c>
      <c r="K67" s="117"/>
    </row>
    <row r="68" spans="2:11" customFormat="1">
      <c r="B68" s="63"/>
      <c r="C68" s="94"/>
      <c r="D68" s="65"/>
      <c r="E68" s="95"/>
      <c r="F68" s="66"/>
      <c r="G68" s="96"/>
      <c r="H68" s="67"/>
      <c r="I68" s="97"/>
      <c r="J68" s="68"/>
      <c r="K68" s="98"/>
    </row>
    <row r="69" spans="2:11" customFormat="1">
      <c r="B69" s="39">
        <f>D12</f>
        <v>0.79166666666666663</v>
      </c>
      <c r="C69" s="8"/>
      <c r="D69" s="40">
        <f>D12</f>
        <v>0.79166666666666663</v>
      </c>
      <c r="E69" s="43"/>
      <c r="F69" s="10">
        <f>D12</f>
        <v>0.79166666666666663</v>
      </c>
      <c r="G69" s="11"/>
      <c r="H69" s="41">
        <f>D12</f>
        <v>0.79166666666666663</v>
      </c>
      <c r="I69" s="12"/>
      <c r="J69" s="44">
        <f>D12</f>
        <v>0.79166666666666663</v>
      </c>
      <c r="K69" s="45"/>
    </row>
    <row r="70" spans="2:11" customFormat="1">
      <c r="B70" s="14"/>
      <c r="C70" s="15"/>
      <c r="D70" s="17"/>
      <c r="E70" s="46"/>
      <c r="F70" s="17"/>
      <c r="G70" s="18"/>
      <c r="H70" s="17"/>
      <c r="I70" s="19"/>
      <c r="J70" s="20"/>
      <c r="K70" s="28"/>
    </row>
    <row r="71" spans="2:11" customFormat="1">
      <c r="B71" s="7"/>
      <c r="C71" s="21"/>
      <c r="D71" s="22"/>
      <c r="E71" s="47"/>
      <c r="F71" s="23"/>
      <c r="G71" s="24"/>
      <c r="H71" s="42"/>
      <c r="I71" s="25"/>
      <c r="J71" s="13"/>
      <c r="K71" s="45"/>
    </row>
    <row r="72" spans="2:11" customFormat="1">
      <c r="B72" s="14"/>
      <c r="C72" s="15"/>
      <c r="D72" s="17"/>
      <c r="E72" s="46"/>
      <c r="F72" s="17"/>
      <c r="G72" s="18"/>
      <c r="H72" s="17"/>
      <c r="I72" s="19"/>
      <c r="J72" s="20"/>
      <c r="K72" s="28"/>
    </row>
    <row r="73" spans="2:11" customFormat="1">
      <c r="B73" s="30"/>
      <c r="C73" s="21"/>
      <c r="D73" s="31"/>
      <c r="E73" s="47"/>
      <c r="F73" s="32"/>
      <c r="G73" s="24"/>
      <c r="H73" s="33"/>
      <c r="I73" s="25"/>
      <c r="J73" s="34"/>
      <c r="K73" s="26"/>
    </row>
    <row r="74" spans="2:11" customFormat="1">
      <c r="B74" s="35"/>
      <c r="C74" s="15"/>
      <c r="D74" s="36"/>
      <c r="E74" s="46"/>
      <c r="F74" s="36"/>
      <c r="G74" s="18"/>
      <c r="H74" s="36"/>
      <c r="I74" s="19"/>
      <c r="J74" s="37"/>
      <c r="K74" s="28"/>
    </row>
    <row r="75" spans="2:11" customFormat="1">
      <c r="B75" s="30"/>
      <c r="C75" s="21"/>
      <c r="D75" s="31"/>
      <c r="E75" s="47"/>
      <c r="F75" s="32"/>
      <c r="G75" s="24"/>
      <c r="H75" s="33"/>
      <c r="I75" s="25"/>
      <c r="J75" s="34"/>
      <c r="K75" s="48"/>
    </row>
    <row r="76" spans="2:11" customFormat="1">
      <c r="B76" s="99"/>
      <c r="C76" s="100"/>
      <c r="D76" s="100"/>
      <c r="E76" s="100"/>
      <c r="F76" s="100"/>
      <c r="G76" s="100"/>
      <c r="H76" s="100"/>
      <c r="I76" s="100"/>
      <c r="J76" s="100"/>
      <c r="K76" s="101"/>
    </row>
    <row r="78" spans="2:11" customFormat="1" ht="15" customHeight="1">
      <c r="B78" s="71" t="s">
        <v>45</v>
      </c>
      <c r="C78" s="89"/>
      <c r="D78" s="89"/>
      <c r="E78" s="89"/>
      <c r="F78" s="89"/>
      <c r="G78" s="89"/>
      <c r="H78" s="89"/>
      <c r="I78" s="89"/>
      <c r="J78" s="89"/>
      <c r="K78" s="90"/>
    </row>
    <row r="79" spans="2:11" customFormat="1">
      <c r="B79" s="91"/>
      <c r="C79" s="92"/>
      <c r="D79" s="92"/>
      <c r="E79" s="92"/>
      <c r="F79" s="92"/>
      <c r="G79" s="92"/>
      <c r="H79" s="92"/>
      <c r="I79" s="92"/>
      <c r="J79" s="92"/>
      <c r="K79" s="93"/>
    </row>
    <row r="80" spans="2:11" customFormat="1">
      <c r="B80" s="108">
        <f>J67+3</f>
        <v>46013</v>
      </c>
      <c r="C80" s="109"/>
      <c r="D80" s="110">
        <f>B80+1</f>
        <v>46014</v>
      </c>
      <c r="E80" s="111"/>
      <c r="F80" s="112">
        <f>D80+1</f>
        <v>46015</v>
      </c>
      <c r="G80" s="113"/>
      <c r="H80" s="114">
        <f>F80+1</f>
        <v>46016</v>
      </c>
      <c r="I80" s="115"/>
      <c r="J80" s="116">
        <f>H80+1</f>
        <v>46017</v>
      </c>
      <c r="K80" s="117"/>
    </row>
    <row r="81" spans="2:11" customFormat="1">
      <c r="B81" s="63"/>
      <c r="C81" s="94"/>
      <c r="D81" s="65"/>
      <c r="E81" s="95"/>
      <c r="F81" s="66"/>
      <c r="G81" s="96"/>
      <c r="H81" s="67"/>
      <c r="I81" s="97"/>
      <c r="J81" s="68"/>
      <c r="K81" s="98"/>
    </row>
    <row r="82" spans="2:11" customFormat="1" ht="15" customHeight="1">
      <c r="B82" s="39">
        <f>D12</f>
        <v>0.79166666666666663</v>
      </c>
      <c r="C82" s="8"/>
      <c r="D82" s="40">
        <f>D12</f>
        <v>0.79166666666666663</v>
      </c>
      <c r="E82" s="43"/>
      <c r="F82" s="102" t="s">
        <v>11</v>
      </c>
      <c r="G82" s="103"/>
      <c r="H82" s="102" t="s">
        <v>11</v>
      </c>
      <c r="I82" s="103"/>
      <c r="J82" s="102" t="s">
        <v>11</v>
      </c>
      <c r="K82" s="103"/>
    </row>
    <row r="83" spans="2:11" customFormat="1" ht="15" customHeight="1">
      <c r="B83" s="14"/>
      <c r="C83" s="15"/>
      <c r="D83" s="17"/>
      <c r="E83" s="46"/>
      <c r="F83" s="104"/>
      <c r="G83" s="105"/>
      <c r="H83" s="104"/>
      <c r="I83" s="105"/>
      <c r="J83" s="104"/>
      <c r="K83" s="105"/>
    </row>
    <row r="84" spans="2:11" customFormat="1" ht="15" customHeight="1">
      <c r="B84" s="7"/>
      <c r="C84" s="21"/>
      <c r="D84" s="22"/>
      <c r="E84" s="47"/>
      <c r="F84" s="104"/>
      <c r="G84" s="105"/>
      <c r="H84" s="104"/>
      <c r="I84" s="105"/>
      <c r="J84" s="104"/>
      <c r="K84" s="105"/>
    </row>
    <row r="85" spans="2:11" customFormat="1" ht="15" customHeight="1">
      <c r="B85" s="14"/>
      <c r="C85" s="15"/>
      <c r="D85" s="17"/>
      <c r="E85" s="46"/>
      <c r="F85" s="104"/>
      <c r="G85" s="105"/>
      <c r="H85" s="104"/>
      <c r="I85" s="105"/>
      <c r="J85" s="104"/>
      <c r="K85" s="105"/>
    </row>
    <row r="86" spans="2:11" customFormat="1" ht="15" customHeight="1">
      <c r="B86" s="30"/>
      <c r="C86" s="21"/>
      <c r="D86" s="31"/>
      <c r="E86" s="47"/>
      <c r="F86" s="104"/>
      <c r="G86" s="105"/>
      <c r="H86" s="104"/>
      <c r="I86" s="105"/>
      <c r="J86" s="104"/>
      <c r="K86" s="105"/>
    </row>
    <row r="87" spans="2:11" customFormat="1" ht="15" customHeight="1">
      <c r="B87" s="35"/>
      <c r="C87" s="15"/>
      <c r="D87" s="36"/>
      <c r="E87" s="46"/>
      <c r="F87" s="104"/>
      <c r="G87" s="105"/>
      <c r="H87" s="104"/>
      <c r="I87" s="105"/>
      <c r="J87" s="104"/>
      <c r="K87" s="105"/>
    </row>
    <row r="88" spans="2:11" customFormat="1" ht="15" customHeight="1">
      <c r="B88" s="30"/>
      <c r="C88" s="21"/>
      <c r="D88" s="31"/>
      <c r="E88" s="47"/>
      <c r="F88" s="106"/>
      <c r="G88" s="107"/>
      <c r="H88" s="106"/>
      <c r="I88" s="107"/>
      <c r="J88" s="106"/>
      <c r="K88" s="107"/>
    </row>
    <row r="89" spans="2:11" customFormat="1">
      <c r="B89" s="99"/>
      <c r="C89" s="100"/>
      <c r="D89" s="100"/>
      <c r="E89" s="100"/>
      <c r="F89" s="100"/>
      <c r="G89" s="100"/>
      <c r="H89" s="100"/>
      <c r="I89" s="100"/>
      <c r="J89" s="100"/>
      <c r="K89" s="101"/>
    </row>
    <row r="91" spans="2:11" customFormat="1" ht="15" customHeight="1">
      <c r="B91" s="71" t="s">
        <v>64</v>
      </c>
      <c r="C91" s="89"/>
      <c r="D91" s="89"/>
      <c r="E91" s="89"/>
      <c r="F91" s="89"/>
      <c r="G91" s="89"/>
      <c r="H91" s="89"/>
      <c r="I91" s="89"/>
      <c r="J91" s="89"/>
      <c r="K91" s="90"/>
    </row>
    <row r="92" spans="2:11" customFormat="1">
      <c r="B92" s="91"/>
      <c r="C92" s="92"/>
      <c r="D92" s="92"/>
      <c r="E92" s="92"/>
      <c r="F92" s="92"/>
      <c r="G92" s="92"/>
      <c r="H92" s="92"/>
      <c r="I92" s="92"/>
      <c r="J92" s="92"/>
      <c r="K92" s="93"/>
    </row>
    <row r="93" spans="2:11" customFormat="1">
      <c r="B93" s="108">
        <f>J80+3</f>
        <v>46020</v>
      </c>
      <c r="C93" s="109"/>
      <c r="D93" s="110">
        <f>B93+1</f>
        <v>46021</v>
      </c>
      <c r="E93" s="111"/>
      <c r="F93" s="112">
        <f>D93+1</f>
        <v>46022</v>
      </c>
      <c r="G93" s="113"/>
      <c r="H93" s="114">
        <f>F93+1</f>
        <v>46023</v>
      </c>
      <c r="I93" s="115"/>
      <c r="J93" s="116">
        <f>H93+1</f>
        <v>46024</v>
      </c>
      <c r="K93" s="117"/>
    </row>
    <row r="94" spans="2:11" customFormat="1">
      <c r="B94" s="63"/>
      <c r="C94" s="94"/>
      <c r="D94" s="65"/>
      <c r="E94" s="95"/>
      <c r="F94" s="66"/>
      <c r="G94" s="96"/>
      <c r="H94" s="67"/>
      <c r="I94" s="97"/>
      <c r="J94" s="68"/>
      <c r="K94" s="98"/>
    </row>
    <row r="95" spans="2:11" customFormat="1" ht="15" customHeight="1">
      <c r="B95" s="39">
        <f>D12</f>
        <v>0.79166666666666663</v>
      </c>
      <c r="C95" s="8"/>
      <c r="D95" s="40">
        <f>D12</f>
        <v>0.79166666666666663</v>
      </c>
      <c r="E95" s="43"/>
      <c r="F95" s="102" t="s">
        <v>11</v>
      </c>
      <c r="G95" s="103"/>
      <c r="H95" s="102" t="s">
        <v>11</v>
      </c>
      <c r="I95" s="103"/>
      <c r="J95" s="102" t="s">
        <v>11</v>
      </c>
      <c r="K95" s="103"/>
    </row>
    <row r="96" spans="2:11" customFormat="1" ht="15" customHeight="1">
      <c r="B96" s="14"/>
      <c r="C96" s="15"/>
      <c r="D96" s="17"/>
      <c r="E96" s="46"/>
      <c r="F96" s="104"/>
      <c r="G96" s="105"/>
      <c r="H96" s="104"/>
      <c r="I96" s="105"/>
      <c r="J96" s="104"/>
      <c r="K96" s="105"/>
    </row>
    <row r="97" spans="2:11" customFormat="1" ht="15" customHeight="1">
      <c r="B97" s="7"/>
      <c r="C97" s="21"/>
      <c r="D97" s="22"/>
      <c r="E97" s="47"/>
      <c r="F97" s="104"/>
      <c r="G97" s="105"/>
      <c r="H97" s="104"/>
      <c r="I97" s="105"/>
      <c r="J97" s="104"/>
      <c r="K97" s="105"/>
    </row>
    <row r="98" spans="2:11" customFormat="1" ht="15" customHeight="1">
      <c r="B98" s="14"/>
      <c r="C98" s="15"/>
      <c r="D98" s="17"/>
      <c r="E98" s="46"/>
      <c r="F98" s="104"/>
      <c r="G98" s="105"/>
      <c r="H98" s="104"/>
      <c r="I98" s="105"/>
      <c r="J98" s="104"/>
      <c r="K98" s="105"/>
    </row>
    <row r="99" spans="2:11" customFormat="1" ht="15" customHeight="1">
      <c r="B99" s="30"/>
      <c r="C99" s="21"/>
      <c r="D99" s="31"/>
      <c r="E99" s="47"/>
      <c r="F99" s="104"/>
      <c r="G99" s="105"/>
      <c r="H99" s="104"/>
      <c r="I99" s="105"/>
      <c r="J99" s="104"/>
      <c r="K99" s="105"/>
    </row>
    <row r="100" spans="2:11" customFormat="1" ht="15" customHeight="1">
      <c r="B100" s="35"/>
      <c r="C100" s="15"/>
      <c r="D100" s="36"/>
      <c r="E100" s="46"/>
      <c r="F100" s="104"/>
      <c r="G100" s="105"/>
      <c r="H100" s="104"/>
      <c r="I100" s="105"/>
      <c r="J100" s="104"/>
      <c r="K100" s="105"/>
    </row>
    <row r="101" spans="2:11" customFormat="1" ht="15" customHeight="1">
      <c r="B101" s="30"/>
      <c r="C101" s="21"/>
      <c r="D101" s="31"/>
      <c r="E101" s="47"/>
      <c r="F101" s="106"/>
      <c r="G101" s="107"/>
      <c r="H101" s="106"/>
      <c r="I101" s="107"/>
      <c r="J101" s="106"/>
      <c r="K101" s="107"/>
    </row>
    <row r="102" spans="2:11" customFormat="1">
      <c r="B102" s="99"/>
      <c r="C102" s="100"/>
      <c r="D102" s="100"/>
      <c r="E102" s="100"/>
      <c r="F102" s="100"/>
      <c r="G102" s="100"/>
      <c r="H102" s="100"/>
      <c r="I102" s="100"/>
      <c r="J102" s="100"/>
      <c r="K102" s="101"/>
    </row>
    <row r="104" spans="2:11" customFormat="1" ht="15" customHeight="1">
      <c r="B104" s="71" t="s">
        <v>17</v>
      </c>
      <c r="C104" s="89"/>
      <c r="D104" s="89"/>
      <c r="E104" s="89"/>
      <c r="F104" s="89"/>
      <c r="G104" s="89"/>
      <c r="H104" s="89"/>
      <c r="I104" s="89"/>
      <c r="J104" s="89"/>
      <c r="K104" s="90"/>
    </row>
    <row r="105" spans="2:11" customFormat="1">
      <c r="B105" s="91"/>
      <c r="C105" s="92"/>
      <c r="D105" s="92"/>
      <c r="E105" s="92"/>
      <c r="F105" s="92"/>
      <c r="G105" s="92"/>
      <c r="H105" s="92"/>
      <c r="I105" s="92"/>
      <c r="J105" s="92"/>
      <c r="K105" s="93"/>
    </row>
    <row r="106" spans="2:11" customFormat="1">
      <c r="B106" s="77">
        <f>J93+3</f>
        <v>46027</v>
      </c>
      <c r="C106" s="78"/>
      <c r="D106" s="79">
        <f>B106+1</f>
        <v>46028</v>
      </c>
      <c r="E106" s="78"/>
      <c r="F106" s="80">
        <f>D106+1</f>
        <v>46029</v>
      </c>
      <c r="G106" s="78"/>
      <c r="H106" s="81">
        <f>F106+1</f>
        <v>46030</v>
      </c>
      <c r="I106" s="78"/>
      <c r="J106" s="82">
        <f>H106+1</f>
        <v>46031</v>
      </c>
      <c r="K106" s="78"/>
    </row>
    <row r="107" spans="2:11" customFormat="1">
      <c r="B107" s="83" t="s">
        <v>16</v>
      </c>
      <c r="C107" s="84"/>
      <c r="D107" s="85" t="s">
        <v>16</v>
      </c>
      <c r="E107" s="84"/>
      <c r="F107" s="86" t="s">
        <v>16</v>
      </c>
      <c r="G107" s="84"/>
      <c r="H107" s="87" t="s">
        <v>16</v>
      </c>
      <c r="I107" s="84"/>
      <c r="J107" s="88" t="s">
        <v>16</v>
      </c>
      <c r="K107" s="84"/>
    </row>
    <row r="108" spans="2:11" customFormat="1" ht="26.25">
      <c r="B108" s="39">
        <f>D12</f>
        <v>0.79166666666666663</v>
      </c>
      <c r="C108" s="8" t="s">
        <v>46</v>
      </c>
      <c r="D108" s="40">
        <f>D12</f>
        <v>0.79166666666666663</v>
      </c>
      <c r="E108" s="43" t="s">
        <v>47</v>
      </c>
      <c r="F108" s="10">
        <f>D12</f>
        <v>0.79166666666666663</v>
      </c>
      <c r="G108" s="11" t="s">
        <v>59</v>
      </c>
      <c r="H108" s="41">
        <f>D12</f>
        <v>0.79166666666666663</v>
      </c>
      <c r="I108" s="12" t="s">
        <v>62</v>
      </c>
      <c r="J108" s="44">
        <f>D12</f>
        <v>0.79166666666666663</v>
      </c>
      <c r="K108" s="45" t="s">
        <v>97</v>
      </c>
    </row>
    <row r="109" spans="2:11" customFormat="1" ht="26.25">
      <c r="B109" s="14"/>
      <c r="C109" s="15" t="s">
        <v>56</v>
      </c>
      <c r="D109" s="17"/>
      <c r="E109" s="46" t="s">
        <v>48</v>
      </c>
      <c r="F109" s="17"/>
      <c r="G109" s="18" t="s">
        <v>63</v>
      </c>
      <c r="H109" s="17"/>
      <c r="I109" s="19" t="s">
        <v>70</v>
      </c>
      <c r="J109" s="20"/>
      <c r="K109" s="28" t="s">
        <v>65</v>
      </c>
    </row>
    <row r="110" spans="2:11" customFormat="1">
      <c r="B110" s="7"/>
      <c r="C110" s="21" t="s">
        <v>57</v>
      </c>
      <c r="D110" s="22"/>
      <c r="E110" s="47" t="s">
        <v>49</v>
      </c>
      <c r="F110" s="23"/>
      <c r="G110" s="24" t="s">
        <v>60</v>
      </c>
      <c r="H110" s="42"/>
      <c r="I110" s="25" t="s">
        <v>71</v>
      </c>
      <c r="J110" s="13"/>
      <c r="K110" s="45" t="s">
        <v>66</v>
      </c>
    </row>
    <row r="111" spans="2:11" customFormat="1">
      <c r="B111" s="14"/>
      <c r="C111" s="15"/>
      <c r="D111" s="17"/>
      <c r="E111" s="46" t="s">
        <v>50</v>
      </c>
      <c r="F111" s="17"/>
      <c r="G111" s="18" t="s">
        <v>61</v>
      </c>
      <c r="H111" s="17"/>
      <c r="I111" s="19"/>
      <c r="J111" s="20"/>
      <c r="K111" s="28"/>
    </row>
    <row r="112" spans="2:11" customFormat="1" ht="39">
      <c r="B112" s="30"/>
      <c r="C112" s="21"/>
      <c r="D112" s="31"/>
      <c r="E112" s="47" t="s">
        <v>51</v>
      </c>
      <c r="F112" s="32"/>
      <c r="G112" s="24"/>
      <c r="H112" s="33"/>
      <c r="I112" s="25"/>
      <c r="J112" s="34"/>
      <c r="K112" s="26"/>
    </row>
    <row r="113" spans="1:11">
      <c r="A113"/>
      <c r="B113" s="35"/>
      <c r="C113" s="15"/>
      <c r="D113" s="36"/>
      <c r="E113" s="46" t="s">
        <v>52</v>
      </c>
      <c r="F113" s="36"/>
      <c r="G113" s="18"/>
      <c r="H113" s="36"/>
      <c r="I113" s="19"/>
      <c r="J113" s="37"/>
      <c r="K113" s="28"/>
    </row>
    <row r="114" spans="1:11">
      <c r="A114"/>
      <c r="B114" s="35"/>
      <c r="C114" s="15"/>
      <c r="D114" s="36"/>
      <c r="E114" s="46" t="s">
        <v>53</v>
      </c>
      <c r="F114" s="36"/>
      <c r="G114" s="18"/>
      <c r="H114" s="36"/>
      <c r="I114" s="19"/>
      <c r="J114" s="37"/>
      <c r="K114" s="28"/>
    </row>
    <row r="115" spans="1:11">
      <c r="A115"/>
      <c r="B115" s="35"/>
      <c r="C115" s="15"/>
      <c r="D115" s="36"/>
      <c r="E115" s="46" t="s">
        <v>54</v>
      </c>
      <c r="F115" s="36"/>
      <c r="G115" s="18"/>
      <c r="H115" s="36"/>
      <c r="I115" s="19"/>
      <c r="J115" s="37"/>
      <c r="K115" s="28"/>
    </row>
    <row r="116" spans="1:11" ht="39">
      <c r="A116"/>
      <c r="B116" s="35"/>
      <c r="C116" s="15"/>
      <c r="D116" s="36"/>
      <c r="E116" s="46" t="s">
        <v>55</v>
      </c>
      <c r="F116" s="36"/>
      <c r="G116" s="18"/>
      <c r="H116" s="36"/>
      <c r="I116" s="19"/>
      <c r="J116" s="37"/>
      <c r="K116" s="28"/>
    </row>
    <row r="117" spans="1:11">
      <c r="A117"/>
      <c r="B117" s="30"/>
      <c r="C117" s="21"/>
      <c r="D117" s="31"/>
      <c r="E117" s="47" t="s">
        <v>58</v>
      </c>
      <c r="F117" s="32"/>
      <c r="G117" s="24"/>
      <c r="H117" s="33"/>
      <c r="I117" s="25"/>
      <c r="J117" s="34"/>
      <c r="K117" s="48"/>
    </row>
    <row r="118" spans="1:11">
      <c r="A118"/>
      <c r="B118" s="69"/>
      <c r="C118" s="70"/>
      <c r="D118" s="70"/>
      <c r="E118" s="70"/>
      <c r="F118" s="70"/>
      <c r="G118" s="70"/>
      <c r="H118" s="70"/>
      <c r="I118" s="70"/>
      <c r="J118" s="70"/>
      <c r="K118" s="64"/>
    </row>
    <row r="120" spans="1:11">
      <c r="A120"/>
      <c r="B120" s="71" t="s">
        <v>74</v>
      </c>
      <c r="C120" s="72"/>
      <c r="D120" s="72"/>
      <c r="E120" s="72"/>
      <c r="F120" s="72"/>
      <c r="G120" s="72"/>
      <c r="H120" s="72"/>
      <c r="I120" s="72"/>
      <c r="J120" s="72"/>
      <c r="K120" s="73"/>
    </row>
    <row r="121" spans="1:11">
      <c r="A121"/>
      <c r="B121" s="74"/>
      <c r="C121" s="75"/>
      <c r="D121" s="75"/>
      <c r="E121" s="75"/>
      <c r="F121" s="75"/>
      <c r="G121" s="75"/>
      <c r="H121" s="75"/>
      <c r="I121" s="75"/>
      <c r="J121" s="75"/>
      <c r="K121" s="76"/>
    </row>
    <row r="122" spans="1:11">
      <c r="A122"/>
      <c r="B122" s="77">
        <f>J106+3</f>
        <v>46034</v>
      </c>
      <c r="C122" s="78"/>
      <c r="D122" s="79">
        <f>B122+1</f>
        <v>46035</v>
      </c>
      <c r="E122" s="78"/>
      <c r="F122" s="80">
        <f>D122+1</f>
        <v>46036</v>
      </c>
      <c r="G122" s="78"/>
      <c r="H122" s="81">
        <f>F122+1</f>
        <v>46037</v>
      </c>
      <c r="I122" s="78"/>
      <c r="J122" s="82">
        <f>H122+1</f>
        <v>46038</v>
      </c>
      <c r="K122" s="78"/>
    </row>
    <row r="123" spans="1:11">
      <c r="A123"/>
      <c r="B123" s="83" t="s">
        <v>16</v>
      </c>
      <c r="C123" s="84"/>
      <c r="D123" s="85" t="s">
        <v>16</v>
      </c>
      <c r="E123" s="84"/>
      <c r="F123" s="86" t="s">
        <v>16</v>
      </c>
      <c r="G123" s="84"/>
      <c r="H123" s="87" t="s">
        <v>16</v>
      </c>
      <c r="I123" s="84"/>
      <c r="J123" s="88" t="s">
        <v>16</v>
      </c>
      <c r="K123" s="84"/>
    </row>
    <row r="124" spans="1:11">
      <c r="A124"/>
      <c r="B124" s="39">
        <v>0.79166666666666663</v>
      </c>
      <c r="C124" s="8" t="s">
        <v>65</v>
      </c>
      <c r="D124" s="40">
        <v>0.79166666666666663</v>
      </c>
      <c r="E124" s="43" t="s">
        <v>100</v>
      </c>
      <c r="F124" s="10">
        <v>0.79166666666666663</v>
      </c>
      <c r="G124" s="11" t="s">
        <v>73</v>
      </c>
      <c r="H124" s="41">
        <v>0.79166666666666663</v>
      </c>
      <c r="I124" s="12"/>
      <c r="J124" s="44">
        <v>0.79166666666666663</v>
      </c>
      <c r="K124" s="45"/>
    </row>
    <row r="125" spans="1:11" ht="26.25">
      <c r="A125"/>
      <c r="B125" s="14"/>
      <c r="C125" s="15" t="s">
        <v>67</v>
      </c>
      <c r="D125" s="17"/>
      <c r="E125" s="46" t="s">
        <v>101</v>
      </c>
      <c r="F125" s="17"/>
      <c r="G125" s="15" t="s">
        <v>77</v>
      </c>
      <c r="H125" s="17"/>
      <c r="I125" s="19"/>
      <c r="J125" s="20"/>
      <c r="K125" s="28"/>
    </row>
    <row r="126" spans="1:11">
      <c r="A126"/>
      <c r="B126" s="7"/>
      <c r="C126" s="21" t="s">
        <v>99</v>
      </c>
      <c r="D126" s="22"/>
      <c r="E126" s="47" t="s">
        <v>98</v>
      </c>
      <c r="F126" s="23"/>
      <c r="G126" s="24" t="s">
        <v>78</v>
      </c>
      <c r="H126" s="42"/>
      <c r="I126" s="25"/>
      <c r="J126" s="13"/>
      <c r="K126" s="45"/>
    </row>
    <row r="127" spans="1:11">
      <c r="A127"/>
      <c r="B127" s="14"/>
      <c r="C127" s="15" t="s">
        <v>68</v>
      </c>
      <c r="D127" s="17"/>
      <c r="E127" s="46" t="s">
        <v>102</v>
      </c>
      <c r="F127" s="17"/>
      <c r="G127" s="19" t="s">
        <v>72</v>
      </c>
      <c r="H127" s="17"/>
      <c r="I127" s="19"/>
      <c r="J127" s="20"/>
      <c r="K127" s="28"/>
    </row>
    <row r="128" spans="1:11">
      <c r="A128"/>
      <c r="B128" s="30"/>
      <c r="C128" s="21" t="s">
        <v>69</v>
      </c>
      <c r="D128" s="31"/>
      <c r="E128" s="47"/>
      <c r="F128" s="32"/>
      <c r="G128" s="24" t="s">
        <v>79</v>
      </c>
      <c r="H128" s="33"/>
      <c r="I128" s="25"/>
      <c r="J128" s="34"/>
      <c r="K128" s="26"/>
    </row>
    <row r="129" spans="1:11">
      <c r="A129"/>
      <c r="B129" s="35"/>
      <c r="C129" s="15"/>
      <c r="D129" s="36"/>
      <c r="E129" s="46"/>
      <c r="F129" s="36"/>
      <c r="G129" s="18" t="s">
        <v>80</v>
      </c>
      <c r="H129" s="36"/>
      <c r="I129" s="19"/>
      <c r="J129" s="37"/>
      <c r="K129" s="28"/>
    </row>
    <row r="130" spans="1:11">
      <c r="A130"/>
      <c r="B130" s="30"/>
      <c r="C130" s="21"/>
      <c r="D130" s="31"/>
      <c r="E130" s="47"/>
      <c r="F130" s="32"/>
      <c r="G130" s="24"/>
      <c r="H130" s="33"/>
      <c r="I130" s="25"/>
      <c r="J130" s="34"/>
      <c r="K130" s="48"/>
    </row>
    <row r="131" spans="1:11">
      <c r="A131"/>
      <c r="B131" s="69"/>
      <c r="C131" s="70"/>
      <c r="D131" s="70"/>
      <c r="E131" s="70"/>
      <c r="F131" s="70"/>
      <c r="G131" s="70"/>
      <c r="H131" s="70"/>
      <c r="I131" s="70"/>
      <c r="J131" s="70"/>
      <c r="K131" s="64"/>
    </row>
    <row r="133" spans="1:11">
      <c r="A133"/>
      <c r="B133" s="71" t="s">
        <v>75</v>
      </c>
      <c r="C133" s="72"/>
      <c r="D133" s="72"/>
      <c r="E133" s="72"/>
      <c r="F133" s="72"/>
      <c r="G133" s="72"/>
      <c r="H133" s="72"/>
      <c r="I133" s="72"/>
      <c r="J133" s="72"/>
      <c r="K133" s="73"/>
    </row>
    <row r="134" spans="1:11">
      <c r="A134"/>
      <c r="B134" s="74"/>
      <c r="C134" s="75"/>
      <c r="D134" s="75"/>
      <c r="E134" s="75"/>
      <c r="F134" s="75"/>
      <c r="G134" s="75"/>
      <c r="H134" s="75"/>
      <c r="I134" s="75"/>
      <c r="J134" s="75"/>
      <c r="K134" s="76"/>
    </row>
    <row r="135" spans="1:11">
      <c r="A135"/>
      <c r="B135" s="77">
        <f>J122+3</f>
        <v>46041</v>
      </c>
      <c r="C135" s="78"/>
      <c r="D135" s="79">
        <f>B135+1</f>
        <v>46042</v>
      </c>
      <c r="E135" s="78"/>
      <c r="F135" s="80">
        <f>D135+1</f>
        <v>46043</v>
      </c>
      <c r="G135" s="78"/>
      <c r="H135" s="81">
        <f>F135+1</f>
        <v>46044</v>
      </c>
      <c r="I135" s="78"/>
      <c r="J135" s="82">
        <f>H135+1</f>
        <v>46045</v>
      </c>
      <c r="K135" s="78"/>
    </row>
    <row r="136" spans="1:11">
      <c r="A136"/>
      <c r="B136" s="63"/>
      <c r="C136" s="64"/>
      <c r="D136" s="65"/>
      <c r="E136" s="64"/>
      <c r="F136" s="66"/>
      <c r="G136" s="64"/>
      <c r="H136" s="67"/>
      <c r="I136" s="64"/>
      <c r="J136" s="68"/>
      <c r="K136" s="64"/>
    </row>
    <row r="137" spans="1:11" ht="26.25">
      <c r="A137"/>
      <c r="B137" s="39">
        <v>0.79166666666666663</v>
      </c>
      <c r="C137" s="8" t="s">
        <v>103</v>
      </c>
      <c r="D137" s="40">
        <v>0.79166666666666663</v>
      </c>
      <c r="E137" s="43" t="s">
        <v>106</v>
      </c>
      <c r="F137" s="10">
        <v>0.79166666666666663</v>
      </c>
      <c r="G137" s="58" t="s">
        <v>76</v>
      </c>
      <c r="H137" s="41">
        <v>0.79166666666666663</v>
      </c>
      <c r="I137" s="58" t="s">
        <v>76</v>
      </c>
      <c r="J137" s="44">
        <v>0.79166666666666663</v>
      </c>
      <c r="K137" s="45"/>
    </row>
    <row r="138" spans="1:11">
      <c r="A138"/>
      <c r="B138" s="14"/>
      <c r="C138" s="15" t="s">
        <v>104</v>
      </c>
      <c r="D138" s="17"/>
      <c r="E138" s="46"/>
      <c r="F138" s="17"/>
      <c r="G138" s="18"/>
      <c r="H138" s="17"/>
      <c r="I138" s="19"/>
      <c r="J138" s="20"/>
      <c r="K138" s="28"/>
    </row>
    <row r="139" spans="1:11">
      <c r="A139"/>
      <c r="B139" s="7"/>
      <c r="C139" s="21" t="s">
        <v>93</v>
      </c>
      <c r="D139" s="22"/>
      <c r="E139" s="47"/>
      <c r="F139" s="23"/>
      <c r="G139" s="24"/>
      <c r="H139" s="42"/>
      <c r="I139" s="25"/>
      <c r="J139" s="13"/>
      <c r="K139" s="45"/>
    </row>
    <row r="140" spans="1:11">
      <c r="A140"/>
      <c r="B140" s="14"/>
      <c r="C140" s="15" t="s">
        <v>105</v>
      </c>
      <c r="D140" s="17"/>
      <c r="E140" s="46"/>
      <c r="F140" s="17"/>
      <c r="G140" s="18"/>
      <c r="H140" s="17"/>
      <c r="I140" s="19"/>
      <c r="J140" s="20"/>
      <c r="K140" s="28"/>
    </row>
    <row r="141" spans="1:11">
      <c r="A141"/>
      <c r="B141" s="30"/>
      <c r="C141" s="21"/>
      <c r="D141" s="31"/>
      <c r="E141" s="47"/>
      <c r="F141" s="32"/>
      <c r="G141" s="24"/>
      <c r="H141" s="33"/>
      <c r="I141" s="25"/>
      <c r="J141" s="34"/>
      <c r="K141" s="26"/>
    </row>
    <row r="142" spans="1:11">
      <c r="A142"/>
      <c r="B142" s="35"/>
      <c r="C142" s="15"/>
      <c r="D142" s="36"/>
      <c r="E142" s="46"/>
      <c r="F142" s="36"/>
      <c r="G142" s="18"/>
      <c r="H142" s="36"/>
      <c r="I142" s="19"/>
      <c r="J142" s="37"/>
      <c r="K142" s="28"/>
    </row>
    <row r="143" spans="1:11">
      <c r="A143"/>
      <c r="B143" s="30"/>
      <c r="C143" s="21"/>
      <c r="D143" s="31"/>
      <c r="E143" s="47"/>
      <c r="F143" s="32"/>
      <c r="G143" s="24"/>
      <c r="H143" s="33"/>
      <c r="I143" s="25"/>
      <c r="J143" s="34"/>
      <c r="K143" s="48"/>
    </row>
    <row r="144" spans="1:11">
      <c r="A144"/>
      <c r="B144" s="69"/>
      <c r="C144" s="70"/>
      <c r="D144" s="70"/>
      <c r="E144" s="70"/>
      <c r="F144" s="70"/>
      <c r="G144" s="70"/>
      <c r="H144" s="70"/>
      <c r="I144" s="70"/>
      <c r="J144" s="70"/>
      <c r="K144" s="64"/>
    </row>
    <row r="146" spans="1:11">
      <c r="A146"/>
      <c r="B146" s="71" t="s">
        <v>18</v>
      </c>
      <c r="C146" s="72"/>
      <c r="D146" s="72"/>
      <c r="E146" s="72"/>
      <c r="F146" s="72"/>
      <c r="G146" s="72"/>
      <c r="H146" s="72"/>
      <c r="I146" s="72"/>
      <c r="J146" s="72"/>
      <c r="K146" s="73"/>
    </row>
    <row r="147" spans="1:11">
      <c r="A147"/>
      <c r="B147" s="74"/>
      <c r="C147" s="75"/>
      <c r="D147" s="75"/>
      <c r="E147" s="75"/>
      <c r="F147" s="75"/>
      <c r="G147" s="75"/>
      <c r="H147" s="75"/>
      <c r="I147" s="75"/>
      <c r="J147" s="75"/>
      <c r="K147" s="76"/>
    </row>
    <row r="148" spans="1:11">
      <c r="A148"/>
      <c r="B148" s="77">
        <f>J135+3</f>
        <v>46048</v>
      </c>
      <c r="C148" s="78"/>
      <c r="D148" s="79">
        <f>B148+1</f>
        <v>46049</v>
      </c>
      <c r="E148" s="78"/>
      <c r="F148" s="80">
        <f>D148+1</f>
        <v>46050</v>
      </c>
      <c r="G148" s="78"/>
      <c r="H148" s="81">
        <f>F148+1</f>
        <v>46051</v>
      </c>
      <c r="I148" s="78"/>
      <c r="J148" s="82">
        <f>H148+1</f>
        <v>46052</v>
      </c>
      <c r="K148" s="78"/>
    </row>
    <row r="149" spans="1:11">
      <c r="A149"/>
      <c r="B149" s="63"/>
      <c r="C149" s="64"/>
      <c r="D149" s="65"/>
      <c r="E149" s="64"/>
      <c r="F149" s="66"/>
      <c r="G149" s="64"/>
      <c r="H149" s="67"/>
      <c r="I149" s="64"/>
      <c r="J149" s="68"/>
      <c r="K149" s="64"/>
    </row>
    <row r="150" spans="1:11">
      <c r="A150"/>
      <c r="B150" s="39">
        <v>0.79166666666666663</v>
      </c>
      <c r="C150" s="21"/>
      <c r="D150" s="40">
        <v>0.79166666666666663</v>
      </c>
      <c r="E150" s="43"/>
      <c r="F150" s="10">
        <v>0.79166666666666663</v>
      </c>
      <c r="G150" s="11"/>
      <c r="H150" s="41">
        <v>0.79166666666666663</v>
      </c>
      <c r="I150" s="12"/>
      <c r="J150" s="44">
        <v>0.79166666666666663</v>
      </c>
      <c r="K150" s="45"/>
    </row>
    <row r="151" spans="1:11">
      <c r="A151"/>
      <c r="B151" s="14"/>
      <c r="C151" s="15"/>
      <c r="D151" s="17"/>
      <c r="E151" s="46"/>
      <c r="F151" s="17"/>
      <c r="G151" s="18"/>
      <c r="H151" s="17"/>
      <c r="I151" s="19"/>
      <c r="J151" s="20"/>
      <c r="K151" s="28"/>
    </row>
    <row r="152" spans="1:11">
      <c r="A152"/>
      <c r="B152" s="7"/>
      <c r="C152" s="21"/>
      <c r="D152" s="22"/>
      <c r="E152" s="47"/>
      <c r="F152" s="23"/>
      <c r="G152" s="24"/>
      <c r="H152" s="42"/>
      <c r="I152" s="25"/>
      <c r="J152" s="13"/>
      <c r="K152" s="45"/>
    </row>
    <row r="153" spans="1:11">
      <c r="A153"/>
      <c r="B153" s="14"/>
      <c r="C153" s="15"/>
      <c r="D153" s="17"/>
      <c r="E153" s="46"/>
      <c r="F153" s="17"/>
      <c r="G153" s="18"/>
      <c r="H153" s="17"/>
      <c r="I153" s="19"/>
      <c r="J153" s="20"/>
      <c r="K153" s="28"/>
    </row>
    <row r="154" spans="1:11">
      <c r="A154"/>
      <c r="B154" s="30"/>
      <c r="C154" s="21"/>
      <c r="D154" s="31"/>
      <c r="E154" s="47"/>
      <c r="F154" s="32"/>
      <c r="G154" s="24"/>
      <c r="H154" s="33"/>
      <c r="I154" s="25"/>
      <c r="J154" s="34"/>
      <c r="K154" s="26"/>
    </row>
    <row r="155" spans="1:11">
      <c r="A155"/>
      <c r="B155" s="35"/>
      <c r="C155" s="15"/>
      <c r="D155" s="36"/>
      <c r="E155" s="46"/>
      <c r="F155" s="36"/>
      <c r="G155" s="18"/>
      <c r="H155" s="36"/>
      <c r="I155" s="19"/>
      <c r="J155" s="37"/>
      <c r="K155" s="28"/>
    </row>
    <row r="156" spans="1:11">
      <c r="A156"/>
      <c r="B156" s="30"/>
      <c r="C156" s="21"/>
      <c r="D156" s="31"/>
      <c r="E156" s="47"/>
      <c r="F156" s="32"/>
      <c r="G156" s="24"/>
      <c r="H156" s="33"/>
      <c r="I156" s="25"/>
      <c r="J156" s="34"/>
      <c r="K156" s="48"/>
    </row>
    <row r="157" spans="1:11">
      <c r="A157"/>
      <c r="B157" s="69"/>
      <c r="C157" s="70"/>
      <c r="D157" s="70"/>
      <c r="E157" s="70"/>
      <c r="F157" s="70"/>
      <c r="G157" s="70"/>
      <c r="H157" s="70"/>
      <c r="I157" s="70"/>
      <c r="J157" s="70"/>
      <c r="K157" s="64"/>
    </row>
    <row r="159" spans="1:11">
      <c r="A159"/>
      <c r="B159" s="71" t="s">
        <v>81</v>
      </c>
      <c r="C159" s="72"/>
      <c r="D159" s="72"/>
      <c r="E159" s="72"/>
      <c r="F159" s="72"/>
      <c r="G159" s="72"/>
      <c r="H159" s="72"/>
      <c r="I159" s="72"/>
      <c r="J159" s="72"/>
      <c r="K159" s="73"/>
    </row>
    <row r="160" spans="1:11">
      <c r="A160"/>
      <c r="B160" s="74"/>
      <c r="C160" s="75"/>
      <c r="D160" s="75"/>
      <c r="E160" s="75"/>
      <c r="F160" s="75"/>
      <c r="G160" s="75"/>
      <c r="H160" s="75"/>
      <c r="I160" s="75"/>
      <c r="J160" s="75"/>
      <c r="K160" s="76"/>
    </row>
    <row r="161" spans="1:11">
      <c r="A161"/>
      <c r="B161" s="77">
        <f>J148+3</f>
        <v>46055</v>
      </c>
      <c r="C161" s="78"/>
      <c r="D161" s="79">
        <f>B161+1</f>
        <v>46056</v>
      </c>
      <c r="E161" s="78"/>
      <c r="F161" s="80">
        <f>D161+1</f>
        <v>46057</v>
      </c>
      <c r="G161" s="78"/>
      <c r="H161" s="81">
        <f>F161+1</f>
        <v>46058</v>
      </c>
      <c r="I161" s="78"/>
      <c r="J161" s="82">
        <f>H161+1</f>
        <v>46059</v>
      </c>
      <c r="K161" s="78"/>
    </row>
    <row r="162" spans="1:11">
      <c r="A162"/>
      <c r="B162" s="63"/>
      <c r="C162" s="64"/>
      <c r="D162" s="65"/>
      <c r="E162" s="64"/>
      <c r="F162" s="66"/>
      <c r="G162" s="64"/>
      <c r="H162" s="67"/>
      <c r="I162" s="64"/>
      <c r="J162" s="68"/>
      <c r="K162" s="64"/>
    </row>
    <row r="163" spans="1:11">
      <c r="A163"/>
      <c r="B163" s="39">
        <v>0.79166666666666663</v>
      </c>
      <c r="C163" s="8"/>
      <c r="D163" s="40">
        <v>0.79166666666666663</v>
      </c>
      <c r="E163" s="43"/>
      <c r="F163" s="10">
        <v>0.79166666666666663</v>
      </c>
      <c r="G163" s="11"/>
      <c r="H163" s="41">
        <v>0.79166666666666663</v>
      </c>
      <c r="I163" s="12"/>
      <c r="J163" s="44">
        <v>0.79166666666666663</v>
      </c>
      <c r="K163" s="45"/>
    </row>
    <row r="164" spans="1:11">
      <c r="A164"/>
      <c r="B164" s="14"/>
      <c r="C164" s="15"/>
      <c r="D164" s="17"/>
      <c r="E164" s="46"/>
      <c r="F164" s="17"/>
      <c r="G164" s="18"/>
      <c r="H164" s="17"/>
      <c r="I164" s="19"/>
      <c r="J164" s="20"/>
      <c r="K164" s="28"/>
    </row>
    <row r="165" spans="1:11">
      <c r="A165"/>
      <c r="B165" s="7"/>
      <c r="C165" s="21"/>
      <c r="D165" s="22"/>
      <c r="E165" s="47"/>
      <c r="F165" s="23"/>
      <c r="G165" s="24"/>
      <c r="H165" s="42"/>
      <c r="I165" s="25"/>
      <c r="J165" s="13"/>
      <c r="K165" s="45"/>
    </row>
    <row r="166" spans="1:11">
      <c r="A166"/>
      <c r="B166" s="14"/>
      <c r="C166" s="15"/>
      <c r="D166" s="17"/>
      <c r="E166" s="46"/>
      <c r="F166" s="17"/>
      <c r="G166" s="18"/>
      <c r="H166" s="17"/>
      <c r="I166" s="19"/>
      <c r="J166" s="20"/>
      <c r="K166" s="28"/>
    </row>
    <row r="167" spans="1:11">
      <c r="A167"/>
      <c r="B167" s="30"/>
      <c r="C167" s="21"/>
      <c r="D167" s="31"/>
      <c r="E167" s="47"/>
      <c r="F167" s="32"/>
      <c r="G167" s="24"/>
      <c r="H167" s="33"/>
      <c r="I167" s="25"/>
      <c r="J167" s="34"/>
      <c r="K167" s="26"/>
    </row>
    <row r="168" spans="1:11">
      <c r="A168"/>
      <c r="B168" s="35"/>
      <c r="C168" s="15"/>
      <c r="D168" s="36"/>
      <c r="E168" s="46"/>
      <c r="F168" s="36"/>
      <c r="G168" s="18"/>
      <c r="H168" s="36"/>
      <c r="I168" s="19"/>
      <c r="J168" s="37"/>
      <c r="K168" s="28"/>
    </row>
    <row r="169" spans="1:11">
      <c r="A169"/>
      <c r="B169" s="30"/>
      <c r="C169" s="21"/>
      <c r="D169" s="31"/>
      <c r="E169" s="47"/>
      <c r="F169" s="32"/>
      <c r="G169" s="24"/>
      <c r="H169" s="33"/>
      <c r="I169" s="25"/>
      <c r="J169" s="34"/>
      <c r="K169" s="48"/>
    </row>
    <row r="170" spans="1:11">
      <c r="A170"/>
      <c r="B170" s="69"/>
      <c r="C170" s="70"/>
      <c r="D170" s="70"/>
      <c r="E170" s="70"/>
      <c r="F170" s="70"/>
      <c r="G170" s="70"/>
      <c r="H170" s="70"/>
      <c r="I170" s="70"/>
      <c r="J170" s="70"/>
      <c r="K170" s="64"/>
    </row>
    <row r="172" spans="1:11">
      <c r="A172"/>
      <c r="B172" s="71" t="s">
        <v>82</v>
      </c>
      <c r="C172" s="72"/>
      <c r="D172" s="72"/>
      <c r="E172" s="72"/>
      <c r="F172" s="72"/>
      <c r="G172" s="72"/>
      <c r="H172" s="72"/>
      <c r="I172" s="72"/>
      <c r="J172" s="72"/>
      <c r="K172" s="73"/>
    </row>
    <row r="173" spans="1:11">
      <c r="A173"/>
      <c r="B173" s="74"/>
      <c r="C173" s="75"/>
      <c r="D173" s="75"/>
      <c r="E173" s="75"/>
      <c r="F173" s="75"/>
      <c r="G173" s="75"/>
      <c r="H173" s="75"/>
      <c r="I173" s="75"/>
      <c r="J173" s="75"/>
      <c r="K173" s="76"/>
    </row>
    <row r="174" spans="1:11">
      <c r="A174"/>
      <c r="B174" s="77">
        <f>J161+3</f>
        <v>46062</v>
      </c>
      <c r="C174" s="78"/>
      <c r="D174" s="79">
        <f>B174+1</f>
        <v>46063</v>
      </c>
      <c r="E174" s="78"/>
      <c r="F174" s="80">
        <f>D174+1</f>
        <v>46064</v>
      </c>
      <c r="G174" s="78"/>
      <c r="H174" s="81">
        <f>F174+1</f>
        <v>46065</v>
      </c>
      <c r="I174" s="78"/>
      <c r="J174" s="82">
        <f>H174+1</f>
        <v>46066</v>
      </c>
      <c r="K174" s="78"/>
    </row>
    <row r="175" spans="1:11">
      <c r="A175"/>
      <c r="B175" s="63"/>
      <c r="C175" s="64"/>
      <c r="D175" s="65"/>
      <c r="E175" s="64"/>
      <c r="F175" s="66"/>
      <c r="G175" s="64"/>
      <c r="H175" s="67"/>
      <c r="I175" s="64"/>
      <c r="J175" s="68"/>
      <c r="K175" s="64"/>
    </row>
    <row r="176" spans="1:11">
      <c r="A176"/>
      <c r="B176" s="39">
        <v>0.79166666666666663</v>
      </c>
      <c r="C176" s="8"/>
      <c r="D176" s="40">
        <v>0.79166666666666663</v>
      </c>
      <c r="E176" s="43"/>
      <c r="F176" s="10">
        <v>0.79166666666666663</v>
      </c>
      <c r="G176" s="11"/>
      <c r="H176" s="41">
        <v>0.79166666666666663</v>
      </c>
      <c r="I176" s="12"/>
      <c r="J176" s="44">
        <v>0.79166666666666663</v>
      </c>
      <c r="K176" s="45"/>
    </row>
    <row r="177" spans="1:11">
      <c r="A177"/>
      <c r="B177" s="14"/>
      <c r="C177" s="15"/>
      <c r="D177" s="17"/>
      <c r="E177" s="46"/>
      <c r="F177" s="17"/>
      <c r="G177" s="18"/>
      <c r="H177" s="17"/>
      <c r="I177" s="19"/>
      <c r="J177" s="20"/>
      <c r="K177" s="28"/>
    </row>
    <row r="178" spans="1:11">
      <c r="A178"/>
      <c r="B178" s="7"/>
      <c r="C178" s="21"/>
      <c r="D178" s="22"/>
      <c r="E178" s="47"/>
      <c r="F178" s="23"/>
      <c r="G178" s="24"/>
      <c r="H178" s="42"/>
      <c r="I178" s="25"/>
      <c r="J178" s="13"/>
      <c r="K178" s="45"/>
    </row>
    <row r="179" spans="1:11">
      <c r="A179"/>
      <c r="B179" s="14"/>
      <c r="C179" s="15"/>
      <c r="D179" s="17"/>
      <c r="E179" s="46"/>
      <c r="F179" s="17"/>
      <c r="G179" s="18"/>
      <c r="H179" s="17"/>
      <c r="I179" s="19"/>
      <c r="J179" s="20"/>
      <c r="K179" s="28"/>
    </row>
    <row r="180" spans="1:11">
      <c r="A180"/>
      <c r="B180" s="30"/>
      <c r="C180" s="21"/>
      <c r="D180" s="31"/>
      <c r="E180" s="47"/>
      <c r="F180" s="32"/>
      <c r="G180" s="24"/>
      <c r="H180" s="33"/>
      <c r="I180" s="25"/>
      <c r="J180" s="34"/>
      <c r="K180" s="26"/>
    </row>
    <row r="181" spans="1:11">
      <c r="A181"/>
      <c r="B181" s="35"/>
      <c r="C181" s="15"/>
      <c r="D181" s="36"/>
      <c r="E181" s="46"/>
      <c r="F181" s="36"/>
      <c r="G181" s="18"/>
      <c r="H181" s="36"/>
      <c r="I181" s="19"/>
      <c r="J181" s="37"/>
      <c r="K181" s="28"/>
    </row>
    <row r="182" spans="1:11">
      <c r="A182"/>
      <c r="B182" s="30"/>
      <c r="C182" s="21"/>
      <c r="D182" s="31"/>
      <c r="E182" s="47"/>
      <c r="F182" s="32"/>
      <c r="G182" s="24"/>
      <c r="H182" s="33"/>
      <c r="I182" s="25"/>
      <c r="J182" s="34"/>
      <c r="K182" s="48"/>
    </row>
    <row r="183" spans="1:11">
      <c r="A183"/>
      <c r="B183" s="69"/>
      <c r="C183" s="70"/>
      <c r="D183" s="70"/>
      <c r="E183" s="70"/>
      <c r="F183" s="70"/>
      <c r="G183" s="70"/>
      <c r="H183" s="70"/>
      <c r="I183" s="70"/>
      <c r="J183" s="70"/>
      <c r="K183" s="64"/>
    </row>
    <row r="185" spans="1:11">
      <c r="A185"/>
      <c r="B185" s="71" t="s">
        <v>83</v>
      </c>
      <c r="C185" s="72"/>
      <c r="D185" s="72"/>
      <c r="E185" s="72"/>
      <c r="F185" s="72"/>
      <c r="G185" s="72"/>
      <c r="H185" s="72"/>
      <c r="I185" s="72"/>
      <c r="J185" s="72"/>
      <c r="K185" s="73"/>
    </row>
    <row r="186" spans="1:11">
      <c r="A186"/>
      <c r="B186" s="74"/>
      <c r="C186" s="75"/>
      <c r="D186" s="75"/>
      <c r="E186" s="75"/>
      <c r="F186" s="75"/>
      <c r="G186" s="75"/>
      <c r="H186" s="75"/>
      <c r="I186" s="75"/>
      <c r="J186" s="75"/>
      <c r="K186" s="76"/>
    </row>
    <row r="187" spans="1:11">
      <c r="A187"/>
      <c r="B187" s="77">
        <f>J174+3</f>
        <v>46069</v>
      </c>
      <c r="C187" s="78"/>
      <c r="D187" s="79">
        <f>B187+1</f>
        <v>46070</v>
      </c>
      <c r="E187" s="78"/>
      <c r="F187" s="80">
        <f>D187+1</f>
        <v>46071</v>
      </c>
      <c r="G187" s="78"/>
      <c r="H187" s="81">
        <f>F187+1</f>
        <v>46072</v>
      </c>
      <c r="I187" s="78"/>
      <c r="J187" s="82">
        <f>H187+1</f>
        <v>46073</v>
      </c>
      <c r="K187" s="78"/>
    </row>
    <row r="188" spans="1:11">
      <c r="A188"/>
      <c r="B188" s="63"/>
      <c r="C188" s="64"/>
      <c r="D188" s="65"/>
      <c r="E188" s="64"/>
      <c r="F188" s="66"/>
      <c r="G188" s="64"/>
      <c r="H188" s="67"/>
      <c r="I188" s="64"/>
      <c r="J188" s="68"/>
      <c r="K188" s="64"/>
    </row>
    <row r="189" spans="1:11">
      <c r="A189"/>
      <c r="B189" s="39">
        <v>0.79166666666666663</v>
      </c>
      <c r="C189" s="8"/>
      <c r="D189" s="40">
        <v>0.79166666666666663</v>
      </c>
      <c r="E189" s="43"/>
      <c r="F189" s="10">
        <v>0.79166666666666663</v>
      </c>
      <c r="G189" s="11"/>
      <c r="H189" s="41">
        <v>0.79166666666666663</v>
      </c>
      <c r="I189" s="12"/>
      <c r="J189" s="44">
        <v>0.79166666666666663</v>
      </c>
      <c r="K189" s="45"/>
    </row>
    <row r="190" spans="1:11">
      <c r="A190"/>
      <c r="B190" s="14"/>
      <c r="C190" s="15"/>
      <c r="D190" s="17"/>
      <c r="E190" s="46"/>
      <c r="F190" s="17"/>
      <c r="G190" s="18"/>
      <c r="H190" s="17"/>
      <c r="I190" s="19"/>
      <c r="J190" s="20"/>
      <c r="K190" s="28"/>
    </row>
    <row r="191" spans="1:11">
      <c r="A191"/>
      <c r="B191" s="7"/>
      <c r="C191" s="21"/>
      <c r="D191" s="22"/>
      <c r="E191" s="47"/>
      <c r="F191" s="23"/>
      <c r="G191" s="24"/>
      <c r="H191" s="42"/>
      <c r="I191" s="25"/>
      <c r="J191" s="13"/>
      <c r="K191" s="45"/>
    </row>
    <row r="192" spans="1:11">
      <c r="A192"/>
      <c r="B192" s="14"/>
      <c r="C192" s="15"/>
      <c r="D192" s="17"/>
      <c r="E192" s="46"/>
      <c r="F192" s="17"/>
      <c r="G192" s="18"/>
      <c r="H192" s="17"/>
      <c r="I192" s="19"/>
      <c r="J192" s="20"/>
      <c r="K192" s="28"/>
    </row>
    <row r="193" spans="1:11">
      <c r="A193"/>
      <c r="B193" s="30"/>
      <c r="C193" s="21"/>
      <c r="D193" s="31"/>
      <c r="E193" s="47"/>
      <c r="F193" s="32"/>
      <c r="G193" s="24"/>
      <c r="H193" s="33"/>
      <c r="I193" s="25"/>
      <c r="J193" s="34"/>
      <c r="K193" s="26"/>
    </row>
    <row r="194" spans="1:11">
      <c r="A194"/>
      <c r="B194" s="35"/>
      <c r="C194" s="15"/>
      <c r="D194" s="36"/>
      <c r="E194" s="46"/>
      <c r="F194" s="36"/>
      <c r="G194" s="18"/>
      <c r="H194" s="36"/>
      <c r="I194" s="19"/>
      <c r="J194" s="37"/>
      <c r="K194" s="28"/>
    </row>
    <row r="195" spans="1:11">
      <c r="A195"/>
      <c r="B195" s="30"/>
      <c r="C195" s="21"/>
      <c r="D195" s="31"/>
      <c r="E195" s="47"/>
      <c r="F195" s="32"/>
      <c r="G195" s="24"/>
      <c r="H195" s="33"/>
      <c r="I195" s="25"/>
      <c r="J195" s="34"/>
      <c r="K195" s="48"/>
    </row>
    <row r="196" spans="1:11">
      <c r="A196"/>
      <c r="B196" s="69"/>
      <c r="C196" s="70"/>
      <c r="D196" s="70"/>
      <c r="E196" s="70"/>
      <c r="F196" s="70"/>
      <c r="G196" s="70"/>
      <c r="H196" s="70"/>
      <c r="I196" s="70"/>
      <c r="J196" s="70"/>
      <c r="K196" s="64"/>
    </row>
    <row r="198" spans="1:11">
      <c r="A198"/>
      <c r="B198" s="71" t="s">
        <v>84</v>
      </c>
      <c r="C198" s="72"/>
      <c r="D198" s="72"/>
      <c r="E198" s="72"/>
      <c r="F198" s="72"/>
      <c r="G198" s="72"/>
      <c r="H198" s="72"/>
      <c r="I198" s="72"/>
      <c r="J198" s="72"/>
      <c r="K198" s="73"/>
    </row>
    <row r="199" spans="1:11">
      <c r="A199"/>
      <c r="B199" s="74"/>
      <c r="C199" s="75"/>
      <c r="D199" s="75"/>
      <c r="E199" s="75"/>
      <c r="F199" s="75"/>
      <c r="G199" s="75"/>
      <c r="H199" s="75"/>
      <c r="I199" s="75"/>
      <c r="J199" s="75"/>
      <c r="K199" s="76"/>
    </row>
    <row r="200" spans="1:11">
      <c r="A200"/>
      <c r="B200" s="77">
        <f>J187+3</f>
        <v>46076</v>
      </c>
      <c r="C200" s="78"/>
      <c r="D200" s="79">
        <f>B200+1</f>
        <v>46077</v>
      </c>
      <c r="E200" s="78"/>
      <c r="F200" s="80">
        <f>D200+1</f>
        <v>46078</v>
      </c>
      <c r="G200" s="78"/>
      <c r="H200" s="81">
        <f>F200+1</f>
        <v>46079</v>
      </c>
      <c r="I200" s="78"/>
      <c r="J200" s="82">
        <f>H200+1</f>
        <v>46080</v>
      </c>
      <c r="K200" s="78"/>
    </row>
    <row r="201" spans="1:11">
      <c r="A201"/>
      <c r="B201" s="63"/>
      <c r="C201" s="64"/>
      <c r="D201" s="65"/>
      <c r="E201" s="64"/>
      <c r="F201" s="66"/>
      <c r="G201" s="64"/>
      <c r="H201" s="67"/>
      <c r="I201" s="64"/>
      <c r="J201" s="68"/>
      <c r="K201" s="64"/>
    </row>
    <row r="202" spans="1:11">
      <c r="A202"/>
      <c r="B202" s="39">
        <v>0.79166666666666663</v>
      </c>
      <c r="C202" s="8"/>
      <c r="D202" s="40">
        <v>0.79166666666666663</v>
      </c>
      <c r="E202" s="43"/>
      <c r="F202" s="10">
        <v>0.79166666666666663</v>
      </c>
      <c r="G202" s="11"/>
      <c r="H202" s="41">
        <v>0.79166666666666663</v>
      </c>
      <c r="I202" s="12"/>
      <c r="J202" s="44">
        <v>0.79166666666666663</v>
      </c>
      <c r="K202" s="45"/>
    </row>
    <row r="203" spans="1:11">
      <c r="A203"/>
      <c r="B203" s="14"/>
      <c r="C203" s="15"/>
      <c r="D203" s="17"/>
      <c r="E203" s="46"/>
      <c r="F203" s="17"/>
      <c r="G203" s="18"/>
      <c r="H203" s="17"/>
      <c r="I203" s="19"/>
      <c r="J203" s="20"/>
      <c r="K203" s="28"/>
    </row>
    <row r="204" spans="1:11">
      <c r="A204"/>
      <c r="B204" s="7"/>
      <c r="C204" s="21"/>
      <c r="D204" s="22"/>
      <c r="E204" s="47"/>
      <c r="F204" s="23"/>
      <c r="G204" s="24"/>
      <c r="H204" s="42"/>
      <c r="I204" s="25"/>
      <c r="J204" s="13"/>
      <c r="K204" s="45"/>
    </row>
    <row r="205" spans="1:11">
      <c r="A205"/>
      <c r="B205" s="14"/>
      <c r="C205" s="15"/>
      <c r="D205" s="17"/>
      <c r="E205" s="46"/>
      <c r="F205" s="17"/>
      <c r="G205" s="18"/>
      <c r="H205" s="17"/>
      <c r="I205" s="19"/>
      <c r="J205" s="20"/>
      <c r="K205" s="28"/>
    </row>
    <row r="206" spans="1:11">
      <c r="A206"/>
      <c r="B206" s="30"/>
      <c r="C206" s="21"/>
      <c r="D206" s="31"/>
      <c r="E206" s="47"/>
      <c r="F206" s="32"/>
      <c r="G206" s="24"/>
      <c r="H206" s="33"/>
      <c r="I206" s="25"/>
      <c r="J206" s="34"/>
      <c r="K206" s="26"/>
    </row>
    <row r="207" spans="1:11">
      <c r="A207"/>
      <c r="B207" s="35"/>
      <c r="C207" s="15"/>
      <c r="D207" s="36"/>
      <c r="E207" s="46"/>
      <c r="F207" s="36"/>
      <c r="G207" s="18"/>
      <c r="H207" s="36"/>
      <c r="I207" s="19"/>
      <c r="J207" s="37"/>
      <c r="K207" s="28"/>
    </row>
    <row r="208" spans="1:11">
      <c r="A208"/>
      <c r="B208" s="30"/>
      <c r="C208" s="21"/>
      <c r="D208" s="31"/>
      <c r="E208" s="47"/>
      <c r="F208" s="32"/>
      <c r="G208" s="24"/>
      <c r="H208" s="33"/>
      <c r="I208" s="25"/>
      <c r="J208" s="34"/>
      <c r="K208" s="48"/>
    </row>
    <row r="209" spans="1:11">
      <c r="A209"/>
      <c r="B209" s="69"/>
      <c r="C209" s="70"/>
      <c r="D209" s="70"/>
      <c r="E209" s="70"/>
      <c r="F209" s="70"/>
      <c r="G209" s="70"/>
      <c r="H209" s="70"/>
      <c r="I209" s="70"/>
      <c r="J209" s="70"/>
      <c r="K209" s="64"/>
    </row>
    <row r="211" spans="1:11">
      <c r="A211"/>
      <c r="B211" s="71" t="s">
        <v>86</v>
      </c>
      <c r="C211" s="72"/>
      <c r="D211" s="72"/>
      <c r="E211" s="72"/>
      <c r="F211" s="72"/>
      <c r="G211" s="72"/>
      <c r="H211" s="72"/>
      <c r="I211" s="72"/>
      <c r="J211" s="72"/>
      <c r="K211" s="73"/>
    </row>
    <row r="212" spans="1:11">
      <c r="A212"/>
      <c r="B212" s="74"/>
      <c r="C212" s="75"/>
      <c r="D212" s="75"/>
      <c r="E212" s="75"/>
      <c r="F212" s="75"/>
      <c r="G212" s="75"/>
      <c r="H212" s="75"/>
      <c r="I212" s="75"/>
      <c r="J212" s="75"/>
      <c r="K212" s="76"/>
    </row>
    <row r="213" spans="1:11">
      <c r="A213"/>
      <c r="B213" s="77">
        <f>J200+3</f>
        <v>46083</v>
      </c>
      <c r="C213" s="78"/>
      <c r="D213" s="79">
        <f>B213+1</f>
        <v>46084</v>
      </c>
      <c r="E213" s="78"/>
      <c r="F213" s="80">
        <f>D213+1</f>
        <v>46085</v>
      </c>
      <c r="G213" s="78"/>
      <c r="H213" s="81">
        <f>F213+1</f>
        <v>46086</v>
      </c>
      <c r="I213" s="78"/>
      <c r="J213" s="82">
        <f>H213+1</f>
        <v>46087</v>
      </c>
      <c r="K213" s="78"/>
    </row>
    <row r="214" spans="1:11">
      <c r="A214"/>
      <c r="B214" s="63"/>
      <c r="C214" s="64"/>
      <c r="D214" s="65"/>
      <c r="E214" s="64"/>
      <c r="F214" s="66"/>
      <c r="G214" s="64"/>
      <c r="H214" s="67"/>
      <c r="I214" s="64"/>
      <c r="J214" s="68"/>
      <c r="K214" s="64"/>
    </row>
    <row r="215" spans="1:11">
      <c r="A215"/>
      <c r="B215" s="39">
        <v>0.79166666666666663</v>
      </c>
      <c r="C215" s="8"/>
      <c r="D215" s="40">
        <v>0.79166666666666663</v>
      </c>
      <c r="E215" s="43"/>
      <c r="F215" s="10">
        <v>0.79166666666666663</v>
      </c>
      <c r="G215" s="11"/>
      <c r="H215" s="41">
        <v>0.79166666666666663</v>
      </c>
      <c r="I215" s="12"/>
      <c r="J215" s="44">
        <v>0.79166666666666663</v>
      </c>
      <c r="K215" s="45"/>
    </row>
    <row r="216" spans="1:11">
      <c r="A216"/>
      <c r="B216" s="14"/>
      <c r="C216" s="15"/>
      <c r="D216" s="17"/>
      <c r="E216" s="46"/>
      <c r="F216" s="17"/>
      <c r="G216" s="18"/>
      <c r="H216" s="17"/>
      <c r="I216" s="19"/>
      <c r="J216" s="20"/>
      <c r="K216" s="28"/>
    </row>
    <row r="217" spans="1:11">
      <c r="A217"/>
      <c r="B217" s="7"/>
      <c r="C217" s="21"/>
      <c r="D217" s="22"/>
      <c r="E217" s="47"/>
      <c r="F217" s="23"/>
      <c r="G217" s="24"/>
      <c r="H217" s="42"/>
      <c r="I217" s="25"/>
      <c r="J217" s="13"/>
      <c r="K217" s="45"/>
    </row>
    <row r="218" spans="1:11">
      <c r="A218"/>
      <c r="B218" s="14"/>
      <c r="C218" s="15"/>
      <c r="D218" s="17"/>
      <c r="E218" s="46"/>
      <c r="F218" s="17"/>
      <c r="G218" s="18"/>
      <c r="H218" s="17"/>
      <c r="I218" s="19"/>
      <c r="J218" s="20"/>
      <c r="K218" s="28"/>
    </row>
    <row r="219" spans="1:11">
      <c r="A219"/>
      <c r="B219" s="30"/>
      <c r="C219" s="21"/>
      <c r="D219" s="31"/>
      <c r="E219" s="47"/>
      <c r="F219" s="32"/>
      <c r="G219" s="24"/>
      <c r="H219" s="33"/>
      <c r="I219" s="25"/>
      <c r="J219" s="34"/>
      <c r="K219" s="26"/>
    </row>
    <row r="220" spans="1:11">
      <c r="A220"/>
      <c r="B220" s="35"/>
      <c r="C220" s="15"/>
      <c r="D220" s="36"/>
      <c r="E220" s="46"/>
      <c r="F220" s="36"/>
      <c r="G220" s="18"/>
      <c r="H220" s="36"/>
      <c r="I220" s="19"/>
      <c r="J220" s="37"/>
      <c r="K220" s="28"/>
    </row>
    <row r="221" spans="1:11">
      <c r="A221"/>
      <c r="B221" s="30"/>
      <c r="C221" s="21"/>
      <c r="D221" s="31"/>
      <c r="E221" s="47"/>
      <c r="F221" s="32"/>
      <c r="G221" s="24"/>
      <c r="H221" s="33"/>
      <c r="I221" s="25"/>
      <c r="J221" s="34"/>
      <c r="K221" s="48"/>
    </row>
    <row r="222" spans="1:11">
      <c r="A222"/>
      <c r="B222" s="69"/>
      <c r="C222" s="70"/>
      <c r="D222" s="70"/>
      <c r="E222" s="70"/>
      <c r="F222" s="70"/>
      <c r="G222" s="70"/>
      <c r="H222" s="70"/>
      <c r="I222" s="70"/>
      <c r="J222" s="70"/>
      <c r="K222" s="64"/>
    </row>
    <row r="224" spans="1:11">
      <c r="A224"/>
      <c r="B224" s="71" t="s">
        <v>85</v>
      </c>
      <c r="C224" s="72"/>
      <c r="D224" s="72"/>
      <c r="E224" s="72"/>
      <c r="F224" s="72"/>
      <c r="G224" s="72"/>
      <c r="H224" s="72"/>
      <c r="I224" s="72"/>
      <c r="J224" s="72"/>
      <c r="K224" s="73"/>
    </row>
    <row r="225" spans="1:11">
      <c r="A225"/>
      <c r="B225" s="74"/>
      <c r="C225" s="75"/>
      <c r="D225" s="75"/>
      <c r="E225" s="75"/>
      <c r="F225" s="75"/>
      <c r="G225" s="75"/>
      <c r="H225" s="75"/>
      <c r="I225" s="75"/>
      <c r="J225" s="75"/>
      <c r="K225" s="76"/>
    </row>
    <row r="226" spans="1:11">
      <c r="A226"/>
      <c r="B226" s="77">
        <f>J213+3</f>
        <v>46090</v>
      </c>
      <c r="C226" s="78"/>
      <c r="D226" s="79">
        <f>B226+1</f>
        <v>46091</v>
      </c>
      <c r="E226" s="78"/>
      <c r="F226" s="80">
        <f>D226+1</f>
        <v>46092</v>
      </c>
      <c r="G226" s="78"/>
      <c r="H226" s="81">
        <f>F226+1</f>
        <v>46093</v>
      </c>
      <c r="I226" s="78"/>
      <c r="J226" s="82">
        <f>H226+1</f>
        <v>46094</v>
      </c>
      <c r="K226" s="78"/>
    </row>
    <row r="227" spans="1:11">
      <c r="A227"/>
      <c r="B227" s="63"/>
      <c r="C227" s="64"/>
      <c r="D227" s="65"/>
      <c r="E227" s="64"/>
      <c r="F227" s="66"/>
      <c r="G227" s="64"/>
      <c r="H227" s="67"/>
      <c r="I227" s="64"/>
      <c r="J227" s="68"/>
      <c r="K227" s="64"/>
    </row>
    <row r="228" spans="1:11">
      <c r="A228"/>
      <c r="B228" s="39">
        <v>0.79166666666666663</v>
      </c>
      <c r="C228" s="8"/>
      <c r="D228" s="40">
        <v>0.79166666666666663</v>
      </c>
      <c r="E228" s="43"/>
      <c r="F228" s="10">
        <v>0.79166666666666663</v>
      </c>
      <c r="G228" s="11"/>
      <c r="H228" s="41">
        <v>0.79166666666666663</v>
      </c>
      <c r="I228" s="12"/>
      <c r="J228" s="44">
        <v>0.79166666666666663</v>
      </c>
      <c r="K228" s="45"/>
    </row>
    <row r="229" spans="1:11">
      <c r="A229"/>
      <c r="B229" s="14"/>
      <c r="C229" s="15"/>
      <c r="D229" s="17"/>
      <c r="E229" s="46"/>
      <c r="F229" s="17"/>
      <c r="G229" s="18"/>
      <c r="H229" s="17"/>
      <c r="I229" s="19"/>
      <c r="J229" s="20"/>
      <c r="K229" s="28"/>
    </row>
    <row r="230" spans="1:11">
      <c r="A230"/>
      <c r="B230" s="7"/>
      <c r="C230" s="21"/>
      <c r="D230" s="22"/>
      <c r="E230" s="47"/>
      <c r="F230" s="23"/>
      <c r="G230" s="24"/>
      <c r="H230" s="42"/>
      <c r="I230" s="25"/>
      <c r="J230" s="13"/>
      <c r="K230" s="45"/>
    </row>
    <row r="231" spans="1:11">
      <c r="A231"/>
      <c r="B231" s="14"/>
      <c r="C231" s="15"/>
      <c r="D231" s="17"/>
      <c r="E231" s="46"/>
      <c r="F231" s="17"/>
      <c r="G231" s="18"/>
      <c r="H231" s="17"/>
      <c r="I231" s="19"/>
      <c r="J231" s="20"/>
      <c r="K231" s="28"/>
    </row>
    <row r="232" spans="1:11">
      <c r="A232"/>
      <c r="B232" s="30"/>
      <c r="C232" s="21"/>
      <c r="D232" s="31"/>
      <c r="E232" s="47"/>
      <c r="F232" s="32"/>
      <c r="G232" s="24"/>
      <c r="H232" s="33"/>
      <c r="I232" s="25"/>
      <c r="J232" s="34"/>
      <c r="K232" s="26"/>
    </row>
    <row r="233" spans="1:11">
      <c r="A233"/>
      <c r="B233" s="35"/>
      <c r="C233" s="15"/>
      <c r="D233" s="36"/>
      <c r="E233" s="46"/>
      <c r="F233" s="36"/>
      <c r="G233" s="18"/>
      <c r="H233" s="36"/>
      <c r="I233" s="19"/>
      <c r="J233" s="37"/>
      <c r="K233" s="28"/>
    </row>
    <row r="234" spans="1:11">
      <c r="A234"/>
      <c r="B234" s="30"/>
      <c r="C234" s="21"/>
      <c r="D234" s="31"/>
      <c r="E234" s="47"/>
      <c r="F234" s="32"/>
      <c r="G234" s="24"/>
      <c r="H234" s="33"/>
      <c r="I234" s="25"/>
      <c r="J234" s="34"/>
      <c r="K234" s="48"/>
    </row>
    <row r="235" spans="1:11">
      <c r="A235"/>
      <c r="B235" s="69"/>
      <c r="C235" s="70"/>
      <c r="D235" s="70"/>
      <c r="E235" s="70"/>
      <c r="F235" s="70"/>
      <c r="G235" s="70"/>
      <c r="H235" s="70"/>
      <c r="I235" s="70"/>
      <c r="J235" s="70"/>
      <c r="K235" s="64"/>
    </row>
    <row r="237" spans="1:11">
      <c r="A237"/>
      <c r="B237" s="71" t="s">
        <v>87</v>
      </c>
      <c r="C237" s="72"/>
      <c r="D237" s="72"/>
      <c r="E237" s="72"/>
      <c r="F237" s="72"/>
      <c r="G237" s="72"/>
      <c r="H237" s="72"/>
      <c r="I237" s="72"/>
      <c r="J237" s="72"/>
      <c r="K237" s="73"/>
    </row>
    <row r="238" spans="1:11">
      <c r="A238"/>
      <c r="B238" s="74"/>
      <c r="C238" s="75"/>
      <c r="D238" s="75"/>
      <c r="E238" s="75"/>
      <c r="F238" s="75"/>
      <c r="G238" s="75"/>
      <c r="H238" s="75"/>
      <c r="I238" s="75"/>
      <c r="J238" s="75"/>
      <c r="K238" s="76"/>
    </row>
    <row r="239" spans="1:11">
      <c r="A239"/>
      <c r="B239" s="77">
        <f>J226+3</f>
        <v>46097</v>
      </c>
      <c r="C239" s="78"/>
      <c r="D239" s="79">
        <f>B239+1</f>
        <v>46098</v>
      </c>
      <c r="E239" s="78"/>
      <c r="F239" s="80">
        <f>D239+1</f>
        <v>46099</v>
      </c>
      <c r="G239" s="78"/>
      <c r="H239" s="81">
        <f>F239+1</f>
        <v>46100</v>
      </c>
      <c r="I239" s="78"/>
      <c r="J239" s="82">
        <f>H239+1</f>
        <v>46101</v>
      </c>
      <c r="K239" s="78"/>
    </row>
    <row r="240" spans="1:11">
      <c r="A240"/>
      <c r="B240" s="63"/>
      <c r="C240" s="64"/>
      <c r="D240" s="65"/>
      <c r="E240" s="64"/>
      <c r="F240" s="66"/>
      <c r="G240" s="64"/>
      <c r="H240" s="67"/>
      <c r="I240" s="64"/>
      <c r="J240" s="68"/>
      <c r="K240" s="64"/>
    </row>
    <row r="241" spans="1:11">
      <c r="A241"/>
      <c r="B241" s="39">
        <v>0.79166666666666663</v>
      </c>
      <c r="C241" s="8"/>
      <c r="D241" s="40">
        <v>0.79166666666666663</v>
      </c>
      <c r="E241" s="43"/>
      <c r="F241" s="10">
        <v>0.79166666666666663</v>
      </c>
      <c r="G241" s="11"/>
      <c r="H241" s="41">
        <v>0.79166666666666663</v>
      </c>
      <c r="I241" s="12"/>
      <c r="J241" s="44">
        <v>0.79166666666666663</v>
      </c>
      <c r="K241" s="45"/>
    </row>
    <row r="242" spans="1:11">
      <c r="A242"/>
      <c r="B242" s="14"/>
      <c r="C242" s="15"/>
      <c r="D242" s="17"/>
      <c r="E242" s="46"/>
      <c r="F242" s="17"/>
      <c r="G242" s="18"/>
      <c r="H242" s="17"/>
      <c r="I242" s="19"/>
      <c r="J242" s="20"/>
      <c r="K242" s="28"/>
    </row>
    <row r="243" spans="1:11">
      <c r="A243"/>
      <c r="B243" s="7"/>
      <c r="C243" s="21"/>
      <c r="D243" s="22"/>
      <c r="E243" s="47"/>
      <c r="F243" s="23"/>
      <c r="G243" s="24"/>
      <c r="H243" s="42"/>
      <c r="I243" s="25"/>
      <c r="J243" s="13"/>
      <c r="K243" s="45"/>
    </row>
    <row r="244" spans="1:11">
      <c r="A244"/>
      <c r="B244" s="14"/>
      <c r="C244" s="15"/>
      <c r="D244" s="17"/>
      <c r="E244" s="46"/>
      <c r="F244" s="17"/>
      <c r="G244" s="18"/>
      <c r="H244" s="17"/>
      <c r="I244" s="19"/>
      <c r="J244" s="20"/>
      <c r="K244" s="28"/>
    </row>
    <row r="245" spans="1:11">
      <c r="A245"/>
      <c r="B245" s="30"/>
      <c r="C245" s="21"/>
      <c r="D245" s="31"/>
      <c r="E245" s="47"/>
      <c r="F245" s="32"/>
      <c r="G245" s="24"/>
      <c r="H245" s="33"/>
      <c r="I245" s="25"/>
      <c r="J245" s="34"/>
      <c r="K245" s="26"/>
    </row>
    <row r="246" spans="1:11">
      <c r="A246"/>
      <c r="B246" s="35"/>
      <c r="C246" s="15"/>
      <c r="D246" s="36"/>
      <c r="E246" s="46"/>
      <c r="F246" s="36"/>
      <c r="G246" s="18"/>
      <c r="H246" s="36"/>
      <c r="I246" s="19"/>
      <c r="J246" s="37"/>
      <c r="K246" s="28"/>
    </row>
    <row r="247" spans="1:11">
      <c r="A247"/>
      <c r="B247" s="30"/>
      <c r="C247" s="21"/>
      <c r="D247" s="31"/>
      <c r="E247" s="47"/>
      <c r="F247" s="32"/>
      <c r="G247" s="24"/>
      <c r="H247" s="33"/>
      <c r="I247" s="25"/>
      <c r="J247" s="34"/>
      <c r="K247" s="48"/>
    </row>
    <row r="248" spans="1:11">
      <c r="A248"/>
      <c r="B248" s="69"/>
      <c r="C248" s="70"/>
      <c r="D248" s="70"/>
      <c r="E248" s="70"/>
      <c r="F248" s="70"/>
      <c r="G248" s="70"/>
      <c r="H248" s="70"/>
      <c r="I248" s="70"/>
      <c r="J248" s="70"/>
      <c r="K248" s="64"/>
    </row>
    <row r="250" spans="1:11">
      <c r="A250"/>
      <c r="B250" s="71" t="s">
        <v>88</v>
      </c>
      <c r="C250" s="72"/>
      <c r="D250" s="72"/>
      <c r="E250" s="72"/>
      <c r="F250" s="72"/>
      <c r="G250" s="72"/>
      <c r="H250" s="72"/>
      <c r="I250" s="72"/>
      <c r="J250" s="72"/>
      <c r="K250" s="73"/>
    </row>
    <row r="251" spans="1:11">
      <c r="A251"/>
      <c r="B251" s="74"/>
      <c r="C251" s="75"/>
      <c r="D251" s="75"/>
      <c r="E251" s="75"/>
      <c r="F251" s="75"/>
      <c r="G251" s="75"/>
      <c r="H251" s="75"/>
      <c r="I251" s="75"/>
      <c r="J251" s="75"/>
      <c r="K251" s="76"/>
    </row>
    <row r="252" spans="1:11">
      <c r="A252"/>
      <c r="B252" s="77">
        <f>J239+3</f>
        <v>46104</v>
      </c>
      <c r="C252" s="78"/>
      <c r="D252" s="79">
        <f>B252+1</f>
        <v>46105</v>
      </c>
      <c r="E252" s="78"/>
      <c r="F252" s="80">
        <f>D252+1</f>
        <v>46106</v>
      </c>
      <c r="G252" s="78"/>
      <c r="H252" s="81">
        <f>F252+1</f>
        <v>46107</v>
      </c>
      <c r="I252" s="78"/>
      <c r="J252" s="82">
        <f>H252+1</f>
        <v>46108</v>
      </c>
      <c r="K252" s="78"/>
    </row>
    <row r="253" spans="1:11">
      <c r="A253"/>
      <c r="B253" s="63"/>
      <c r="C253" s="64"/>
      <c r="D253" s="65"/>
      <c r="E253" s="64"/>
      <c r="F253" s="66"/>
      <c r="G253" s="64"/>
      <c r="H253" s="67"/>
      <c r="I253" s="64"/>
      <c r="J253" s="68"/>
      <c r="K253" s="64"/>
    </row>
    <row r="254" spans="1:11">
      <c r="A254"/>
      <c r="B254" s="39">
        <v>0.79166666666666663</v>
      </c>
      <c r="C254" s="8"/>
      <c r="D254" s="40">
        <v>0.79166666666666663</v>
      </c>
      <c r="E254" s="43"/>
      <c r="F254" s="10">
        <v>0.79166666666666663</v>
      </c>
      <c r="G254" s="11"/>
      <c r="H254" s="41">
        <v>0.79166666666666663</v>
      </c>
      <c r="I254" s="12"/>
      <c r="J254" s="44">
        <v>0.79166666666666663</v>
      </c>
      <c r="K254" s="56" t="s">
        <v>89</v>
      </c>
    </row>
    <row r="255" spans="1:11">
      <c r="A255"/>
      <c r="B255" s="14"/>
      <c r="C255" s="15"/>
      <c r="D255" s="17"/>
      <c r="E255" s="46"/>
      <c r="F255" s="17"/>
      <c r="G255" s="18"/>
      <c r="H255" s="17"/>
      <c r="I255" s="19"/>
      <c r="J255" s="20"/>
      <c r="K255" s="57" t="s">
        <v>92</v>
      </c>
    </row>
    <row r="256" spans="1:11">
      <c r="A256"/>
      <c r="B256" s="7"/>
      <c r="C256" s="21"/>
      <c r="D256" s="22"/>
      <c r="E256" s="47"/>
      <c r="F256" s="23"/>
      <c r="G256" s="24"/>
      <c r="H256" s="42"/>
      <c r="I256" s="25"/>
      <c r="J256" s="13"/>
      <c r="K256" s="45"/>
    </row>
    <row r="257" spans="1:11">
      <c r="A257"/>
      <c r="B257" s="14"/>
      <c r="C257" s="15"/>
      <c r="D257" s="17"/>
      <c r="E257" s="46"/>
      <c r="F257" s="17"/>
      <c r="G257" s="18"/>
      <c r="H257" s="17"/>
      <c r="I257" s="19"/>
      <c r="J257" s="20"/>
      <c r="K257" s="28"/>
    </row>
    <row r="258" spans="1:11">
      <c r="A258"/>
      <c r="B258" s="30"/>
      <c r="C258" s="21"/>
      <c r="D258" s="31"/>
      <c r="E258" s="47"/>
      <c r="F258" s="32"/>
      <c r="G258" s="24"/>
      <c r="H258" s="33"/>
      <c r="I258" s="25"/>
      <c r="J258" s="34"/>
      <c r="K258" s="26"/>
    </row>
    <row r="259" spans="1:11">
      <c r="A259"/>
      <c r="B259" s="35"/>
      <c r="C259" s="15"/>
      <c r="D259" s="36"/>
      <c r="E259" s="46"/>
      <c r="F259" s="36"/>
      <c r="G259" s="18"/>
      <c r="H259" s="36"/>
      <c r="I259" s="19"/>
      <c r="J259" s="37"/>
      <c r="K259" s="28"/>
    </row>
    <row r="260" spans="1:11">
      <c r="A260"/>
      <c r="B260" s="30"/>
      <c r="C260" s="21"/>
      <c r="D260" s="31"/>
      <c r="E260" s="47"/>
      <c r="F260" s="32"/>
      <c r="G260" s="24"/>
      <c r="H260" s="33"/>
      <c r="I260" s="25"/>
      <c r="J260" s="34"/>
      <c r="K260" s="48"/>
    </row>
    <row r="261" spans="1:11">
      <c r="A261"/>
      <c r="B261" s="69"/>
      <c r="C261" s="70"/>
      <c r="D261" s="70"/>
      <c r="E261" s="70"/>
      <c r="F261" s="70"/>
      <c r="G261" s="70"/>
      <c r="H261" s="70"/>
      <c r="I261" s="70"/>
      <c r="J261" s="70"/>
      <c r="K261" s="64"/>
    </row>
    <row r="263" spans="1:11">
      <c r="A263"/>
      <c r="B263" s="71" t="s">
        <v>91</v>
      </c>
      <c r="C263" s="72"/>
      <c r="D263" s="72"/>
      <c r="E263" s="72"/>
      <c r="F263" s="72"/>
      <c r="G263" s="72"/>
      <c r="H263" s="72"/>
      <c r="I263" s="72"/>
      <c r="J263" s="72"/>
      <c r="K263" s="73"/>
    </row>
    <row r="264" spans="1:11">
      <c r="A264"/>
      <c r="B264" s="74"/>
      <c r="C264" s="75"/>
      <c r="D264" s="75"/>
      <c r="E264" s="75"/>
      <c r="F264" s="75"/>
      <c r="G264" s="75"/>
      <c r="H264" s="75"/>
      <c r="I264" s="75"/>
      <c r="J264" s="75"/>
      <c r="K264" s="76"/>
    </row>
    <row r="265" spans="1:11">
      <c r="A265"/>
      <c r="B265" s="77">
        <f>J252+3</f>
        <v>46111</v>
      </c>
      <c r="C265" s="78"/>
      <c r="D265" s="79">
        <f>B265+1</f>
        <v>46112</v>
      </c>
      <c r="E265" s="78"/>
      <c r="F265" s="80">
        <f>D265+1</f>
        <v>46113</v>
      </c>
      <c r="G265" s="78"/>
      <c r="H265" s="81">
        <f>F265+1</f>
        <v>46114</v>
      </c>
      <c r="I265" s="78"/>
      <c r="J265" s="82">
        <f>H265+1</f>
        <v>46115</v>
      </c>
      <c r="K265" s="78"/>
    </row>
    <row r="266" spans="1:11">
      <c r="A266"/>
      <c r="B266" s="63"/>
      <c r="C266" s="64"/>
      <c r="D266" s="65"/>
      <c r="E266" s="64"/>
      <c r="F266" s="66"/>
      <c r="G266" s="64"/>
      <c r="H266" s="67"/>
      <c r="I266" s="64"/>
      <c r="J266" s="68"/>
      <c r="K266" s="64"/>
    </row>
    <row r="267" spans="1:11">
      <c r="A267"/>
      <c r="B267" s="39">
        <v>0.79166666666666663</v>
      </c>
      <c r="C267" s="8"/>
      <c r="D267" s="40">
        <v>0.79166666666666663</v>
      </c>
      <c r="E267" s="43"/>
      <c r="F267" s="10">
        <v>0.79166666666666663</v>
      </c>
      <c r="G267" s="53"/>
      <c r="H267" s="41">
        <v>0.79166666666666663</v>
      </c>
      <c r="I267" s="12" t="s">
        <v>90</v>
      </c>
      <c r="J267" s="44">
        <v>0.79166666666666663</v>
      </c>
      <c r="K267" s="45"/>
    </row>
    <row r="268" spans="1:11">
      <c r="A268"/>
      <c r="B268" s="14"/>
      <c r="C268" s="15"/>
      <c r="D268" s="17"/>
      <c r="E268" s="46"/>
      <c r="F268" s="17"/>
      <c r="G268" s="54"/>
      <c r="H268" s="17"/>
      <c r="I268" s="19"/>
      <c r="J268" s="20"/>
      <c r="K268" s="28"/>
    </row>
    <row r="269" spans="1:11">
      <c r="A269"/>
      <c r="B269" s="7"/>
      <c r="C269" s="21"/>
      <c r="D269" s="22"/>
      <c r="E269" s="47"/>
      <c r="F269" s="23"/>
      <c r="G269" s="55"/>
      <c r="H269" s="42"/>
      <c r="I269" s="25"/>
      <c r="J269" s="13"/>
      <c r="K269" s="45"/>
    </row>
    <row r="270" spans="1:11">
      <c r="A270"/>
      <c r="B270" s="14"/>
      <c r="C270" s="15"/>
      <c r="D270" s="17"/>
      <c r="E270" s="46"/>
      <c r="F270" s="17"/>
      <c r="G270" s="54"/>
      <c r="H270" s="17"/>
      <c r="I270" s="19"/>
      <c r="J270" s="20"/>
      <c r="K270" s="28"/>
    </row>
    <row r="271" spans="1:11">
      <c r="A271"/>
      <c r="B271" s="30"/>
      <c r="C271" s="21"/>
      <c r="D271" s="31"/>
      <c r="E271" s="47"/>
      <c r="F271" s="32"/>
      <c r="G271" s="55"/>
      <c r="H271" s="33"/>
      <c r="I271" s="25"/>
      <c r="J271" s="34"/>
      <c r="K271" s="26"/>
    </row>
    <row r="272" spans="1:11">
      <c r="A272"/>
      <c r="B272" s="35"/>
      <c r="C272" s="15"/>
      <c r="D272" s="36"/>
      <c r="E272" s="46"/>
      <c r="F272" s="36"/>
      <c r="G272" s="54"/>
      <c r="H272" s="36"/>
      <c r="I272" s="19"/>
      <c r="J272" s="37"/>
      <c r="K272" s="28"/>
    </row>
    <row r="273" spans="1:11">
      <c r="A273"/>
      <c r="B273" s="30"/>
      <c r="C273" s="21"/>
      <c r="D273" s="31"/>
      <c r="E273" s="47"/>
      <c r="F273" s="32"/>
      <c r="G273" s="55"/>
      <c r="H273" s="33"/>
      <c r="I273" s="25"/>
      <c r="J273" s="34"/>
      <c r="K273" s="48"/>
    </row>
    <row r="274" spans="1:11">
      <c r="A274"/>
      <c r="B274" s="69"/>
      <c r="C274" s="70"/>
      <c r="D274" s="70"/>
      <c r="E274" s="70"/>
      <c r="F274" s="70"/>
      <c r="G274" s="70"/>
      <c r="H274" s="70"/>
      <c r="I274" s="70"/>
      <c r="J274" s="70"/>
      <c r="K274" s="64"/>
    </row>
    <row r="276" spans="1:11">
      <c r="A276"/>
      <c r="B276" s="71" t="s">
        <v>19</v>
      </c>
      <c r="C276" s="72"/>
      <c r="D276" s="72"/>
      <c r="E276" s="72"/>
      <c r="F276" s="72"/>
      <c r="G276" s="72"/>
      <c r="H276" s="72"/>
      <c r="I276" s="72"/>
      <c r="J276" s="72"/>
      <c r="K276" s="73"/>
    </row>
    <row r="277" spans="1:11">
      <c r="A277"/>
      <c r="B277" s="74"/>
      <c r="C277" s="75"/>
      <c r="D277" s="75"/>
      <c r="E277" s="75"/>
      <c r="F277" s="75"/>
      <c r="G277" s="75"/>
      <c r="H277" s="75"/>
      <c r="I277" s="75"/>
      <c r="J277" s="75"/>
      <c r="K277" s="76"/>
    </row>
    <row r="278" spans="1:11">
      <c r="A278"/>
      <c r="B278" s="77">
        <f>J265+3</f>
        <v>46118</v>
      </c>
      <c r="C278" s="78"/>
      <c r="D278" s="79">
        <f>B278+1</f>
        <v>46119</v>
      </c>
      <c r="E278" s="78"/>
      <c r="F278" s="80">
        <f>D278+1</f>
        <v>46120</v>
      </c>
      <c r="G278" s="78"/>
      <c r="H278" s="81">
        <f>F278+1</f>
        <v>46121</v>
      </c>
      <c r="I278" s="78"/>
      <c r="J278" s="82">
        <f>H278+1</f>
        <v>46122</v>
      </c>
      <c r="K278" s="78"/>
    </row>
    <row r="279" spans="1:11">
      <c r="A279"/>
      <c r="B279" s="63"/>
      <c r="C279" s="64"/>
      <c r="D279" s="65"/>
      <c r="E279" s="64"/>
      <c r="F279" s="66"/>
      <c r="G279" s="64"/>
      <c r="H279" s="67"/>
      <c r="I279" s="64"/>
      <c r="J279" s="68"/>
      <c r="K279" s="64"/>
    </row>
    <row r="280" spans="1:11">
      <c r="A280"/>
      <c r="B280" s="39">
        <v>0.79166666666666663</v>
      </c>
      <c r="C280" s="8"/>
      <c r="D280" s="40">
        <v>0.79166666666666663</v>
      </c>
      <c r="E280" s="43"/>
      <c r="F280" s="10">
        <v>0.79166666666666663</v>
      </c>
      <c r="G280" s="11"/>
      <c r="H280" s="41">
        <v>0.79166666666666663</v>
      </c>
      <c r="I280" s="12"/>
      <c r="J280" s="44">
        <v>0.79166666666666663</v>
      </c>
      <c r="K280" s="45"/>
    </row>
    <row r="281" spans="1:11">
      <c r="A281"/>
      <c r="B281" s="14"/>
      <c r="C281" s="15"/>
      <c r="D281" s="17"/>
      <c r="E281" s="46"/>
      <c r="F281" s="17"/>
      <c r="G281" s="18"/>
      <c r="H281" s="17"/>
      <c r="I281" s="19"/>
      <c r="J281" s="20"/>
      <c r="K281" s="28"/>
    </row>
    <row r="282" spans="1:11">
      <c r="A282"/>
      <c r="B282" s="7"/>
      <c r="C282" s="21"/>
      <c r="D282" s="22"/>
      <c r="E282" s="47"/>
      <c r="F282" s="23"/>
      <c r="G282" s="24"/>
      <c r="H282" s="42"/>
      <c r="I282" s="25"/>
      <c r="J282" s="13"/>
      <c r="K282" s="45"/>
    </row>
    <row r="283" spans="1:11">
      <c r="A283"/>
      <c r="B283" s="14"/>
      <c r="C283" s="15"/>
      <c r="D283" s="17"/>
      <c r="E283" s="46"/>
      <c r="F283" s="17"/>
      <c r="G283" s="18"/>
      <c r="H283" s="17"/>
      <c r="I283" s="19"/>
      <c r="J283" s="20"/>
      <c r="K283" s="28"/>
    </row>
    <row r="284" spans="1:11">
      <c r="A284"/>
      <c r="B284" s="30"/>
      <c r="C284" s="21"/>
      <c r="D284" s="31"/>
      <c r="E284" s="47"/>
      <c r="F284" s="32"/>
      <c r="G284" s="24"/>
      <c r="H284" s="33"/>
      <c r="I284" s="25"/>
      <c r="J284" s="34"/>
      <c r="K284" s="26"/>
    </row>
    <row r="285" spans="1:11">
      <c r="A285"/>
      <c r="B285" s="35"/>
      <c r="C285" s="15"/>
      <c r="D285" s="36"/>
      <c r="E285" s="46"/>
      <c r="F285" s="36"/>
      <c r="G285" s="18"/>
      <c r="H285" s="36"/>
      <c r="I285" s="19"/>
      <c r="J285" s="37"/>
      <c r="K285" s="28"/>
    </row>
    <row r="286" spans="1:11">
      <c r="A286"/>
      <c r="B286" s="30"/>
      <c r="C286" s="21"/>
      <c r="D286" s="31"/>
      <c r="E286" s="47"/>
      <c r="F286" s="32"/>
      <c r="G286" s="24"/>
      <c r="H286" s="33"/>
      <c r="I286" s="25"/>
      <c r="J286" s="34"/>
      <c r="K286" s="48"/>
    </row>
    <row r="287" spans="1:11">
      <c r="A287"/>
      <c r="B287" s="69"/>
      <c r="C287" s="70"/>
      <c r="D287" s="70"/>
      <c r="E287" s="70"/>
      <c r="F287" s="70"/>
      <c r="G287" s="70"/>
      <c r="H287" s="70"/>
      <c r="I287" s="70"/>
      <c r="J287" s="70"/>
      <c r="K287" s="64"/>
    </row>
    <row r="289" spans="1:11">
      <c r="A289"/>
      <c r="B289" s="71" t="s">
        <v>20</v>
      </c>
      <c r="C289" s="72"/>
      <c r="D289" s="72"/>
      <c r="E289" s="72"/>
      <c r="F289" s="72"/>
      <c r="G289" s="72"/>
      <c r="H289" s="72"/>
      <c r="I289" s="72"/>
      <c r="J289" s="72"/>
      <c r="K289" s="73"/>
    </row>
    <row r="290" spans="1:11">
      <c r="A290"/>
      <c r="B290" s="74"/>
      <c r="C290" s="75"/>
      <c r="D290" s="75"/>
      <c r="E290" s="75"/>
      <c r="F290" s="75"/>
      <c r="G290" s="75"/>
      <c r="H290" s="75"/>
      <c r="I290" s="75"/>
      <c r="J290" s="75"/>
      <c r="K290" s="76"/>
    </row>
    <row r="291" spans="1:11">
      <c r="A291"/>
      <c r="B291" s="77">
        <f>J278+3</f>
        <v>46125</v>
      </c>
      <c r="C291" s="78"/>
      <c r="D291" s="79">
        <f>B291+1</f>
        <v>46126</v>
      </c>
      <c r="E291" s="78"/>
      <c r="F291" s="80">
        <f>D291+1</f>
        <v>46127</v>
      </c>
      <c r="G291" s="78"/>
      <c r="H291" s="81">
        <f>F291+1</f>
        <v>46128</v>
      </c>
      <c r="I291" s="78"/>
      <c r="J291" s="82">
        <f>H291+1</f>
        <v>46129</v>
      </c>
      <c r="K291" s="78"/>
    </row>
    <row r="292" spans="1:11">
      <c r="A292"/>
      <c r="B292" s="63"/>
      <c r="C292" s="64"/>
      <c r="D292" s="65"/>
      <c r="E292" s="64"/>
      <c r="F292" s="66"/>
      <c r="G292" s="64"/>
      <c r="H292" s="67"/>
      <c r="I292" s="64"/>
      <c r="J292" s="68"/>
      <c r="K292" s="64"/>
    </row>
    <row r="293" spans="1:11">
      <c r="A293"/>
      <c r="B293" s="39">
        <v>0.79166666666666663</v>
      </c>
      <c r="C293" s="8"/>
      <c r="D293" s="40">
        <v>0.79166666666666663</v>
      </c>
      <c r="E293" s="43"/>
      <c r="F293" s="10">
        <v>0.79166666666666663</v>
      </c>
      <c r="G293" s="11"/>
      <c r="H293" s="41">
        <v>0.79166666666666663</v>
      </c>
      <c r="I293" s="12"/>
      <c r="J293" s="44">
        <v>0.79166666666666663</v>
      </c>
      <c r="K293" s="45"/>
    </row>
    <row r="294" spans="1:11">
      <c r="A294"/>
      <c r="B294" s="14"/>
      <c r="C294" s="15"/>
      <c r="D294" s="17"/>
      <c r="E294" s="46"/>
      <c r="F294" s="17"/>
      <c r="G294" s="18"/>
      <c r="H294" s="17"/>
      <c r="I294" s="19"/>
      <c r="J294" s="20"/>
      <c r="K294" s="28"/>
    </row>
    <row r="295" spans="1:11">
      <c r="A295"/>
      <c r="B295" s="7"/>
      <c r="C295" s="21"/>
      <c r="D295" s="22"/>
      <c r="E295" s="47"/>
      <c r="F295" s="23"/>
      <c r="G295" s="24"/>
      <c r="H295" s="42"/>
      <c r="I295" s="25"/>
      <c r="J295" s="13"/>
      <c r="K295" s="45"/>
    </row>
    <row r="296" spans="1:11">
      <c r="A296"/>
      <c r="B296" s="14"/>
      <c r="C296" s="15"/>
      <c r="D296" s="17"/>
      <c r="E296" s="46"/>
      <c r="F296" s="17"/>
      <c r="G296" s="18"/>
      <c r="H296" s="17"/>
      <c r="I296" s="19"/>
      <c r="J296" s="20"/>
      <c r="K296" s="28"/>
    </row>
    <row r="297" spans="1:11">
      <c r="A297"/>
      <c r="B297" s="30"/>
      <c r="C297" s="21"/>
      <c r="D297" s="31"/>
      <c r="E297" s="47"/>
      <c r="F297" s="32"/>
      <c r="G297" s="24"/>
      <c r="H297" s="33"/>
      <c r="I297" s="25"/>
      <c r="J297" s="34"/>
      <c r="K297" s="26"/>
    </row>
    <row r="298" spans="1:11">
      <c r="A298"/>
      <c r="B298" s="35"/>
      <c r="C298" s="15"/>
      <c r="D298" s="36"/>
      <c r="E298" s="46"/>
      <c r="F298" s="36"/>
      <c r="G298" s="18"/>
      <c r="H298" s="36"/>
      <c r="I298" s="19"/>
      <c r="J298" s="37"/>
      <c r="K298" s="28"/>
    </row>
    <row r="299" spans="1:11">
      <c r="A299"/>
      <c r="B299" s="30"/>
      <c r="C299" s="21"/>
      <c r="D299" s="31"/>
      <c r="E299" s="47"/>
      <c r="F299" s="32"/>
      <c r="G299" s="24"/>
      <c r="H299" s="33"/>
      <c r="I299" s="25"/>
      <c r="J299" s="34"/>
      <c r="K299" s="48"/>
    </row>
    <row r="300" spans="1:11">
      <c r="A300"/>
      <c r="B300" s="69"/>
      <c r="C300" s="70"/>
      <c r="D300" s="70"/>
      <c r="E300" s="70"/>
      <c r="F300" s="70"/>
      <c r="G300" s="70"/>
      <c r="H300" s="70"/>
      <c r="I300" s="70"/>
      <c r="J300" s="70"/>
      <c r="K300" s="64"/>
    </row>
    <row r="302" spans="1:11">
      <c r="A302"/>
      <c r="B302" s="71" t="s">
        <v>21</v>
      </c>
      <c r="C302" s="72"/>
      <c r="D302" s="72"/>
      <c r="E302" s="72"/>
      <c r="F302" s="72"/>
      <c r="G302" s="72"/>
      <c r="H302" s="72"/>
      <c r="I302" s="72"/>
      <c r="J302" s="72"/>
      <c r="K302" s="73"/>
    </row>
    <row r="303" spans="1:11">
      <c r="A303"/>
      <c r="B303" s="74"/>
      <c r="C303" s="75"/>
      <c r="D303" s="75"/>
      <c r="E303" s="75"/>
      <c r="F303" s="75"/>
      <c r="G303" s="75"/>
      <c r="H303" s="75"/>
      <c r="I303" s="75"/>
      <c r="J303" s="75"/>
      <c r="K303" s="76"/>
    </row>
    <row r="304" spans="1:11">
      <c r="A304"/>
      <c r="B304" s="77">
        <f>J291+3</f>
        <v>46132</v>
      </c>
      <c r="C304" s="78"/>
      <c r="D304" s="79">
        <f>B304+1</f>
        <v>46133</v>
      </c>
      <c r="E304" s="78"/>
      <c r="F304" s="80">
        <f>D304+1</f>
        <v>46134</v>
      </c>
      <c r="G304" s="78"/>
      <c r="H304" s="81">
        <f>F304+1</f>
        <v>46135</v>
      </c>
      <c r="I304" s="78"/>
      <c r="J304" s="82">
        <f>H304+1</f>
        <v>46136</v>
      </c>
      <c r="K304" s="78"/>
    </row>
    <row r="305" spans="1:11">
      <c r="A305"/>
      <c r="B305" s="63"/>
      <c r="C305" s="64"/>
      <c r="D305" s="65"/>
      <c r="E305" s="64"/>
      <c r="F305" s="66"/>
      <c r="G305" s="64"/>
      <c r="H305" s="67"/>
      <c r="I305" s="64"/>
      <c r="J305" s="68"/>
      <c r="K305" s="64"/>
    </row>
    <row r="306" spans="1:11">
      <c r="A306"/>
      <c r="B306" s="39">
        <v>0.79166666666666663</v>
      </c>
      <c r="C306" s="8"/>
      <c r="D306" s="40">
        <v>0.79166666666666663</v>
      </c>
      <c r="E306" s="43"/>
      <c r="F306" s="10">
        <v>0.79166666666666663</v>
      </c>
      <c r="G306" s="11"/>
      <c r="H306" s="41">
        <v>0.79166666666666663</v>
      </c>
      <c r="I306" s="12"/>
      <c r="J306" s="44">
        <v>0.79166666666666663</v>
      </c>
      <c r="K306" s="45"/>
    </row>
    <row r="307" spans="1:11">
      <c r="A307"/>
      <c r="B307" s="14"/>
      <c r="C307" s="15"/>
      <c r="D307" s="17"/>
      <c r="E307" s="46"/>
      <c r="F307" s="17"/>
      <c r="G307" s="18"/>
      <c r="H307" s="17"/>
      <c r="I307" s="19"/>
      <c r="J307" s="20"/>
      <c r="K307" s="28"/>
    </row>
    <row r="308" spans="1:11">
      <c r="A308"/>
      <c r="B308" s="7"/>
      <c r="C308" s="21"/>
      <c r="D308" s="22"/>
      <c r="E308" s="47"/>
      <c r="F308" s="23"/>
      <c r="G308" s="24"/>
      <c r="H308" s="42"/>
      <c r="I308" s="25"/>
      <c r="J308" s="13"/>
      <c r="K308" s="45"/>
    </row>
    <row r="309" spans="1:11">
      <c r="A309"/>
      <c r="B309" s="14"/>
      <c r="C309" s="15"/>
      <c r="D309" s="17"/>
      <c r="E309" s="46"/>
      <c r="F309" s="17"/>
      <c r="G309" s="18"/>
      <c r="H309" s="17"/>
      <c r="I309" s="19"/>
      <c r="J309" s="20"/>
      <c r="K309" s="28"/>
    </row>
    <row r="310" spans="1:11">
      <c r="A310"/>
      <c r="B310" s="30"/>
      <c r="C310" s="21"/>
      <c r="D310" s="31"/>
      <c r="E310" s="47"/>
      <c r="F310" s="32"/>
      <c r="G310" s="24"/>
      <c r="H310" s="33"/>
      <c r="I310" s="25"/>
      <c r="J310" s="34"/>
      <c r="K310" s="26"/>
    </row>
    <row r="311" spans="1:11">
      <c r="A311"/>
      <c r="B311" s="35"/>
      <c r="C311" s="15"/>
      <c r="D311" s="36"/>
      <c r="E311" s="46"/>
      <c r="F311" s="36"/>
      <c r="G311" s="18"/>
      <c r="H311" s="36"/>
      <c r="I311" s="19"/>
      <c r="J311" s="37"/>
      <c r="K311" s="28"/>
    </row>
    <row r="312" spans="1:11">
      <c r="A312"/>
      <c r="B312" s="30"/>
      <c r="C312" s="21"/>
      <c r="D312" s="31"/>
      <c r="E312" s="47"/>
      <c r="F312" s="32"/>
      <c r="G312" s="24"/>
      <c r="H312" s="33"/>
      <c r="I312" s="25"/>
      <c r="J312" s="34"/>
      <c r="K312" s="48"/>
    </row>
    <row r="313" spans="1:11">
      <c r="A313"/>
      <c r="B313" s="69"/>
      <c r="C313" s="70"/>
      <c r="D313" s="70"/>
      <c r="E313" s="70"/>
      <c r="F313" s="70"/>
      <c r="G313" s="70"/>
      <c r="H313" s="70"/>
      <c r="I313" s="70"/>
      <c r="J313" s="70"/>
      <c r="K313" s="64"/>
    </row>
    <row r="315" spans="1:11">
      <c r="A315"/>
      <c r="B315" s="71" t="s">
        <v>22</v>
      </c>
      <c r="C315" s="72"/>
      <c r="D315" s="72"/>
      <c r="E315" s="72"/>
      <c r="F315" s="72"/>
      <c r="G315" s="72"/>
      <c r="H315" s="72"/>
      <c r="I315" s="72"/>
      <c r="J315" s="72"/>
      <c r="K315" s="73"/>
    </row>
    <row r="316" spans="1:11">
      <c r="A316"/>
      <c r="B316" s="74"/>
      <c r="C316" s="75"/>
      <c r="D316" s="75"/>
      <c r="E316" s="75"/>
      <c r="F316" s="75"/>
      <c r="G316" s="75"/>
      <c r="H316" s="75"/>
      <c r="I316" s="75"/>
      <c r="J316" s="75"/>
      <c r="K316" s="76"/>
    </row>
    <row r="317" spans="1:11">
      <c r="A317"/>
      <c r="B317" s="77">
        <f>J304+3</f>
        <v>46139</v>
      </c>
      <c r="C317" s="78"/>
      <c r="D317" s="79">
        <f>B317+1</f>
        <v>46140</v>
      </c>
      <c r="E317" s="78"/>
      <c r="F317" s="80">
        <f>D317+1</f>
        <v>46141</v>
      </c>
      <c r="G317" s="78"/>
      <c r="H317" s="81">
        <f>F317+1</f>
        <v>46142</v>
      </c>
      <c r="I317" s="78"/>
      <c r="J317" s="82">
        <f>H317+1</f>
        <v>46143</v>
      </c>
      <c r="K317" s="78"/>
    </row>
    <row r="318" spans="1:11">
      <c r="A318"/>
      <c r="B318" s="63"/>
      <c r="C318" s="64"/>
      <c r="D318" s="65"/>
      <c r="E318" s="64"/>
      <c r="F318" s="66"/>
      <c r="G318" s="64"/>
      <c r="H318" s="67"/>
      <c r="I318" s="64"/>
      <c r="J318" s="68"/>
      <c r="K318" s="64"/>
    </row>
    <row r="319" spans="1:11">
      <c r="A319"/>
      <c r="B319" s="39">
        <v>0.79166666666666663</v>
      </c>
      <c r="C319" s="8"/>
      <c r="D319" s="40">
        <v>0.79166666666666663</v>
      </c>
      <c r="E319" s="43"/>
      <c r="F319" s="10">
        <v>0.79166666666666663</v>
      </c>
      <c r="G319" s="11"/>
      <c r="H319" s="41">
        <v>0.79166666666666663</v>
      </c>
      <c r="I319" s="12"/>
      <c r="J319" s="44">
        <v>0.79166666666666663</v>
      </c>
      <c r="K319" s="45"/>
    </row>
    <row r="320" spans="1:11">
      <c r="A320"/>
      <c r="B320" s="14"/>
      <c r="C320" s="15"/>
      <c r="D320" s="17"/>
      <c r="E320" s="46"/>
      <c r="F320" s="17"/>
      <c r="G320" s="18"/>
      <c r="H320" s="17"/>
      <c r="I320" s="19"/>
      <c r="J320" s="20"/>
      <c r="K320" s="28"/>
    </row>
    <row r="321" spans="1:11">
      <c r="A321"/>
      <c r="B321" s="7"/>
      <c r="C321" s="21"/>
      <c r="D321" s="22"/>
      <c r="E321" s="47"/>
      <c r="F321" s="23"/>
      <c r="G321" s="24"/>
      <c r="H321" s="42"/>
      <c r="I321" s="25"/>
      <c r="J321" s="13"/>
      <c r="K321" s="45"/>
    </row>
    <row r="322" spans="1:11">
      <c r="A322"/>
      <c r="B322" s="14"/>
      <c r="C322" s="15"/>
      <c r="D322" s="17"/>
      <c r="E322" s="46"/>
      <c r="F322" s="17"/>
      <c r="G322" s="18"/>
      <c r="H322" s="17"/>
      <c r="I322" s="19"/>
      <c r="J322" s="20"/>
      <c r="K322" s="28"/>
    </row>
    <row r="323" spans="1:11">
      <c r="A323"/>
      <c r="B323" s="30"/>
      <c r="C323" s="21"/>
      <c r="D323" s="31"/>
      <c r="E323" s="47"/>
      <c r="F323" s="32"/>
      <c r="G323" s="24"/>
      <c r="H323" s="33"/>
      <c r="I323" s="25"/>
      <c r="J323" s="34"/>
      <c r="K323" s="26"/>
    </row>
    <row r="324" spans="1:11">
      <c r="A324"/>
      <c r="B324" s="35"/>
      <c r="C324" s="15"/>
      <c r="D324" s="36"/>
      <c r="E324" s="46"/>
      <c r="F324" s="36"/>
      <c r="G324" s="18"/>
      <c r="H324" s="36"/>
      <c r="I324" s="19"/>
      <c r="J324" s="37"/>
      <c r="K324" s="28"/>
    </row>
    <row r="325" spans="1:11">
      <c r="A325"/>
      <c r="B325" s="30"/>
      <c r="C325" s="21"/>
      <c r="D325" s="31"/>
      <c r="E325" s="47"/>
      <c r="F325" s="32"/>
      <c r="G325" s="24"/>
      <c r="H325" s="33"/>
      <c r="I325" s="25"/>
      <c r="J325" s="34"/>
      <c r="K325" s="48"/>
    </row>
    <row r="326" spans="1:11">
      <c r="A326"/>
      <c r="B326" s="69"/>
      <c r="C326" s="70"/>
      <c r="D326" s="70"/>
      <c r="E326" s="70"/>
      <c r="F326" s="70"/>
      <c r="G326" s="70"/>
      <c r="H326" s="70"/>
      <c r="I326" s="70"/>
      <c r="J326" s="70"/>
      <c r="K326" s="64"/>
    </row>
    <row r="328" spans="1:11">
      <c r="A328"/>
      <c r="B328" s="71" t="s">
        <v>23</v>
      </c>
      <c r="C328" s="72"/>
      <c r="D328" s="72"/>
      <c r="E328" s="72"/>
      <c r="F328" s="72"/>
      <c r="G328" s="72"/>
      <c r="H328" s="72"/>
      <c r="I328" s="72"/>
      <c r="J328" s="72"/>
      <c r="K328" s="73"/>
    </row>
    <row r="329" spans="1:11">
      <c r="A329"/>
      <c r="B329" s="74"/>
      <c r="C329" s="75"/>
      <c r="D329" s="75"/>
      <c r="E329" s="75"/>
      <c r="F329" s="75"/>
      <c r="G329" s="75"/>
      <c r="H329" s="75"/>
      <c r="I329" s="75"/>
      <c r="J329" s="75"/>
      <c r="K329" s="76"/>
    </row>
    <row r="330" spans="1:11">
      <c r="A330"/>
      <c r="B330" s="77">
        <f>J317+3</f>
        <v>46146</v>
      </c>
      <c r="C330" s="78"/>
      <c r="D330" s="79">
        <f>B330+1</f>
        <v>46147</v>
      </c>
      <c r="E330" s="78"/>
      <c r="F330" s="80">
        <f>D330+1</f>
        <v>46148</v>
      </c>
      <c r="G330" s="78"/>
      <c r="H330" s="81">
        <f>F330+1</f>
        <v>46149</v>
      </c>
      <c r="I330" s="78"/>
      <c r="J330" s="82">
        <f>H330+1</f>
        <v>46150</v>
      </c>
      <c r="K330" s="78"/>
    </row>
    <row r="331" spans="1:11">
      <c r="A331"/>
      <c r="B331" s="63"/>
      <c r="C331" s="64"/>
      <c r="D331" s="65"/>
      <c r="E331" s="64"/>
      <c r="F331" s="66"/>
      <c r="G331" s="64"/>
      <c r="H331" s="67"/>
      <c r="I331" s="64"/>
      <c r="J331" s="68"/>
      <c r="K331" s="64"/>
    </row>
    <row r="332" spans="1:11">
      <c r="A332"/>
      <c r="B332" s="39">
        <v>0.79166666666666663</v>
      </c>
      <c r="C332" s="8"/>
      <c r="D332" s="40">
        <v>0.79166666666666663</v>
      </c>
      <c r="E332" s="43"/>
      <c r="F332" s="10">
        <v>0.79166666666666663</v>
      </c>
      <c r="G332" s="11"/>
      <c r="H332" s="41">
        <v>0.79166666666666663</v>
      </c>
      <c r="I332" s="12"/>
      <c r="J332" s="44">
        <v>0.79166666666666663</v>
      </c>
      <c r="K332" s="45"/>
    </row>
    <row r="333" spans="1:11">
      <c r="A333"/>
      <c r="B333" s="14"/>
      <c r="C333" s="15"/>
      <c r="D333" s="17"/>
      <c r="E333" s="46"/>
      <c r="F333" s="17"/>
      <c r="G333" s="18"/>
      <c r="H333" s="17"/>
      <c r="I333" s="19"/>
      <c r="J333" s="20"/>
      <c r="K333" s="28"/>
    </row>
    <row r="334" spans="1:11">
      <c r="A334"/>
      <c r="B334" s="7"/>
      <c r="C334" s="21"/>
      <c r="D334" s="22"/>
      <c r="E334" s="47"/>
      <c r="F334" s="23"/>
      <c r="G334" s="24"/>
      <c r="H334" s="42"/>
      <c r="I334" s="25"/>
      <c r="J334" s="13"/>
      <c r="K334" s="45"/>
    </row>
    <row r="335" spans="1:11">
      <c r="A335"/>
      <c r="B335" s="14"/>
      <c r="C335" s="15"/>
      <c r="D335" s="17"/>
      <c r="E335" s="46"/>
      <c r="F335" s="17"/>
      <c r="G335" s="18"/>
      <c r="H335" s="17"/>
      <c r="I335" s="19"/>
      <c r="J335" s="20"/>
      <c r="K335" s="28"/>
    </row>
    <row r="336" spans="1:11">
      <c r="A336"/>
      <c r="B336" s="30"/>
      <c r="C336" s="21"/>
      <c r="D336" s="31"/>
      <c r="E336" s="47"/>
      <c r="F336" s="32"/>
      <c r="G336" s="24"/>
      <c r="H336" s="33"/>
      <c r="I336" s="25"/>
      <c r="J336" s="34"/>
      <c r="K336" s="26"/>
    </row>
    <row r="337" spans="1:11">
      <c r="A337"/>
      <c r="B337" s="35"/>
      <c r="C337" s="15"/>
      <c r="D337" s="36"/>
      <c r="E337" s="46"/>
      <c r="F337" s="36"/>
      <c r="G337" s="18"/>
      <c r="H337" s="36"/>
      <c r="I337" s="19"/>
      <c r="J337" s="37"/>
      <c r="K337" s="28"/>
    </row>
    <row r="338" spans="1:11">
      <c r="A338"/>
      <c r="B338" s="30"/>
      <c r="C338" s="21"/>
      <c r="D338" s="31"/>
      <c r="E338" s="47"/>
      <c r="F338" s="32"/>
      <c r="G338" s="24"/>
      <c r="H338" s="33"/>
      <c r="I338" s="25"/>
      <c r="J338" s="34"/>
      <c r="K338" s="48"/>
    </row>
    <row r="339" spans="1:11">
      <c r="A339"/>
      <c r="B339" s="69"/>
      <c r="C339" s="70"/>
      <c r="D339" s="70"/>
      <c r="E339" s="70"/>
      <c r="F339" s="70"/>
      <c r="G339" s="70"/>
      <c r="H339" s="70"/>
      <c r="I339" s="70"/>
      <c r="J339" s="70"/>
      <c r="K339" s="64"/>
    </row>
  </sheetData>
  <mergeCells count="323">
    <mergeCell ref="B13:K14"/>
    <mergeCell ref="J82:K88"/>
    <mergeCell ref="J95:K101"/>
    <mergeCell ref="B24:K24"/>
    <mergeCell ref="J16:K16"/>
    <mergeCell ref="H16:I16"/>
    <mergeCell ref="F16:G16"/>
    <mergeCell ref="D16:E16"/>
    <mergeCell ref="B16:C16"/>
    <mergeCell ref="J15:K15"/>
    <mergeCell ref="H15:I15"/>
    <mergeCell ref="F15:G15"/>
    <mergeCell ref="D15:E15"/>
    <mergeCell ref="B15:C15"/>
    <mergeCell ref="B28:C28"/>
    <mergeCell ref="D28:E28"/>
    <mergeCell ref="F28:G28"/>
    <mergeCell ref="H28:I28"/>
    <mergeCell ref="J28:K28"/>
    <mergeCell ref="B26:K27"/>
    <mergeCell ref="B39:K40"/>
    <mergeCell ref="B41:C41"/>
    <mergeCell ref="D41:E41"/>
    <mergeCell ref="F41:G41"/>
    <mergeCell ref="B1:C7"/>
    <mergeCell ref="D1:I6"/>
    <mergeCell ref="J1:K7"/>
    <mergeCell ref="B8:C9"/>
    <mergeCell ref="D8:E9"/>
    <mergeCell ref="F8:G9"/>
    <mergeCell ref="H8:I9"/>
    <mergeCell ref="J8:K9"/>
    <mergeCell ref="B10:C11"/>
    <mergeCell ref="D10:E11"/>
    <mergeCell ref="F10:G11"/>
    <mergeCell ref="H10:I11"/>
    <mergeCell ref="J10:K11"/>
    <mergeCell ref="H41:I41"/>
    <mergeCell ref="J41:K41"/>
    <mergeCell ref="B29:C29"/>
    <mergeCell ref="D29:E29"/>
    <mergeCell ref="F29:G29"/>
    <mergeCell ref="H29:I29"/>
    <mergeCell ref="J29:K29"/>
    <mergeCell ref="B37:K37"/>
    <mergeCell ref="B52:K53"/>
    <mergeCell ref="B54:C54"/>
    <mergeCell ref="D54:E54"/>
    <mergeCell ref="F54:G54"/>
    <mergeCell ref="H54:I54"/>
    <mergeCell ref="J54:K54"/>
    <mergeCell ref="B42:C42"/>
    <mergeCell ref="D42:E42"/>
    <mergeCell ref="F42:G42"/>
    <mergeCell ref="H42:I42"/>
    <mergeCell ref="J42:K42"/>
    <mergeCell ref="B50:K50"/>
    <mergeCell ref="B63:K63"/>
    <mergeCell ref="B65:K66"/>
    <mergeCell ref="B67:C67"/>
    <mergeCell ref="D67:E67"/>
    <mergeCell ref="F67:G67"/>
    <mergeCell ref="H67:I67"/>
    <mergeCell ref="J67:K67"/>
    <mergeCell ref="B55:C55"/>
    <mergeCell ref="D55:E55"/>
    <mergeCell ref="F55:G55"/>
    <mergeCell ref="H55:I55"/>
    <mergeCell ref="J55:K55"/>
    <mergeCell ref="B56:C62"/>
    <mergeCell ref="B78:K79"/>
    <mergeCell ref="B80:C80"/>
    <mergeCell ref="D80:E80"/>
    <mergeCell ref="F80:G80"/>
    <mergeCell ref="H80:I80"/>
    <mergeCell ref="J80:K80"/>
    <mergeCell ref="B68:C68"/>
    <mergeCell ref="D68:E68"/>
    <mergeCell ref="F68:G68"/>
    <mergeCell ref="H68:I68"/>
    <mergeCell ref="J68:K68"/>
    <mergeCell ref="B76:K76"/>
    <mergeCell ref="B91:K92"/>
    <mergeCell ref="B93:C93"/>
    <mergeCell ref="D93:E93"/>
    <mergeCell ref="F93:G93"/>
    <mergeCell ref="H93:I93"/>
    <mergeCell ref="J93:K93"/>
    <mergeCell ref="B81:C81"/>
    <mergeCell ref="D81:E81"/>
    <mergeCell ref="F81:G81"/>
    <mergeCell ref="H81:I81"/>
    <mergeCell ref="J81:K81"/>
    <mergeCell ref="B89:K89"/>
    <mergeCell ref="H82:I88"/>
    <mergeCell ref="F82:G88"/>
    <mergeCell ref="B104:K105"/>
    <mergeCell ref="B106:C106"/>
    <mergeCell ref="D106:E106"/>
    <mergeCell ref="F106:G106"/>
    <mergeCell ref="H106:I106"/>
    <mergeCell ref="J106:K106"/>
    <mergeCell ref="B94:C94"/>
    <mergeCell ref="D94:E94"/>
    <mergeCell ref="F94:G94"/>
    <mergeCell ref="H94:I94"/>
    <mergeCell ref="J94:K94"/>
    <mergeCell ref="B102:K102"/>
    <mergeCell ref="H95:I101"/>
    <mergeCell ref="F95:G101"/>
    <mergeCell ref="B120:K121"/>
    <mergeCell ref="B122:C122"/>
    <mergeCell ref="D122:E122"/>
    <mergeCell ref="F122:G122"/>
    <mergeCell ref="H122:I122"/>
    <mergeCell ref="J122:K122"/>
    <mergeCell ref="B107:C107"/>
    <mergeCell ref="D107:E107"/>
    <mergeCell ref="F107:G107"/>
    <mergeCell ref="H107:I107"/>
    <mergeCell ref="J107:K107"/>
    <mergeCell ref="B118:K118"/>
    <mergeCell ref="B133:K134"/>
    <mergeCell ref="B135:C135"/>
    <mergeCell ref="D135:E135"/>
    <mergeCell ref="F135:G135"/>
    <mergeCell ref="H135:I135"/>
    <mergeCell ref="J135:K135"/>
    <mergeCell ref="B123:C123"/>
    <mergeCell ref="D123:E123"/>
    <mergeCell ref="F123:G123"/>
    <mergeCell ref="H123:I123"/>
    <mergeCell ref="J123:K123"/>
    <mergeCell ref="B131:K131"/>
    <mergeCell ref="B146:K147"/>
    <mergeCell ref="B148:C148"/>
    <mergeCell ref="D148:E148"/>
    <mergeCell ref="F148:G148"/>
    <mergeCell ref="H148:I148"/>
    <mergeCell ref="J148:K148"/>
    <mergeCell ref="B136:C136"/>
    <mergeCell ref="D136:E136"/>
    <mergeCell ref="F136:G136"/>
    <mergeCell ref="H136:I136"/>
    <mergeCell ref="J136:K136"/>
    <mergeCell ref="B144:K144"/>
    <mergeCell ref="B159:K160"/>
    <mergeCell ref="B161:C161"/>
    <mergeCell ref="D161:E161"/>
    <mergeCell ref="F161:G161"/>
    <mergeCell ref="H161:I161"/>
    <mergeCell ref="J161:K161"/>
    <mergeCell ref="B149:C149"/>
    <mergeCell ref="D149:E149"/>
    <mergeCell ref="F149:G149"/>
    <mergeCell ref="H149:I149"/>
    <mergeCell ref="J149:K149"/>
    <mergeCell ref="B157:K157"/>
    <mergeCell ref="B172:K173"/>
    <mergeCell ref="B174:C174"/>
    <mergeCell ref="D174:E174"/>
    <mergeCell ref="F174:G174"/>
    <mergeCell ref="H174:I174"/>
    <mergeCell ref="J174:K174"/>
    <mergeCell ref="B162:C162"/>
    <mergeCell ref="D162:E162"/>
    <mergeCell ref="F162:G162"/>
    <mergeCell ref="H162:I162"/>
    <mergeCell ref="J162:K162"/>
    <mergeCell ref="B170:K170"/>
    <mergeCell ref="B185:K186"/>
    <mergeCell ref="B187:C187"/>
    <mergeCell ref="D187:E187"/>
    <mergeCell ref="F187:G187"/>
    <mergeCell ref="H187:I187"/>
    <mergeCell ref="J187:K187"/>
    <mergeCell ref="B175:C175"/>
    <mergeCell ref="D175:E175"/>
    <mergeCell ref="F175:G175"/>
    <mergeCell ref="H175:I175"/>
    <mergeCell ref="J175:K175"/>
    <mergeCell ref="B183:K183"/>
    <mergeCell ref="B198:K199"/>
    <mergeCell ref="B200:C200"/>
    <mergeCell ref="D200:E200"/>
    <mergeCell ref="F200:G200"/>
    <mergeCell ref="H200:I200"/>
    <mergeCell ref="J200:K200"/>
    <mergeCell ref="B188:C188"/>
    <mergeCell ref="D188:E188"/>
    <mergeCell ref="F188:G188"/>
    <mergeCell ref="H188:I188"/>
    <mergeCell ref="J188:K188"/>
    <mergeCell ref="B196:K196"/>
    <mergeCell ref="B211:K212"/>
    <mergeCell ref="B213:C213"/>
    <mergeCell ref="D213:E213"/>
    <mergeCell ref="F213:G213"/>
    <mergeCell ref="H213:I213"/>
    <mergeCell ref="J213:K213"/>
    <mergeCell ref="B201:C201"/>
    <mergeCell ref="D201:E201"/>
    <mergeCell ref="F201:G201"/>
    <mergeCell ref="H201:I201"/>
    <mergeCell ref="J201:K201"/>
    <mergeCell ref="B209:K209"/>
    <mergeCell ref="B224:K225"/>
    <mergeCell ref="B226:C226"/>
    <mergeCell ref="D226:E226"/>
    <mergeCell ref="F226:G226"/>
    <mergeCell ref="H226:I226"/>
    <mergeCell ref="J226:K226"/>
    <mergeCell ref="B214:C214"/>
    <mergeCell ref="D214:E214"/>
    <mergeCell ref="F214:G214"/>
    <mergeCell ref="H214:I214"/>
    <mergeCell ref="J214:K214"/>
    <mergeCell ref="B222:K222"/>
    <mergeCell ref="B237:K238"/>
    <mergeCell ref="B239:C239"/>
    <mergeCell ref="D239:E239"/>
    <mergeCell ref="F239:G239"/>
    <mergeCell ref="H239:I239"/>
    <mergeCell ref="J239:K239"/>
    <mergeCell ref="B227:C227"/>
    <mergeCell ref="D227:E227"/>
    <mergeCell ref="F227:G227"/>
    <mergeCell ref="H227:I227"/>
    <mergeCell ref="J227:K227"/>
    <mergeCell ref="B235:K235"/>
    <mergeCell ref="B250:K251"/>
    <mergeCell ref="B252:C252"/>
    <mergeCell ref="D252:E252"/>
    <mergeCell ref="F252:G252"/>
    <mergeCell ref="H252:I252"/>
    <mergeCell ref="J252:K252"/>
    <mergeCell ref="B240:C240"/>
    <mergeCell ref="D240:E240"/>
    <mergeCell ref="F240:G240"/>
    <mergeCell ref="H240:I240"/>
    <mergeCell ref="J240:K240"/>
    <mergeCell ref="B248:K248"/>
    <mergeCell ref="B263:K264"/>
    <mergeCell ref="B265:C265"/>
    <mergeCell ref="D265:E265"/>
    <mergeCell ref="F265:G265"/>
    <mergeCell ref="H265:I265"/>
    <mergeCell ref="J265:K265"/>
    <mergeCell ref="B253:C253"/>
    <mergeCell ref="D253:E253"/>
    <mergeCell ref="F253:G253"/>
    <mergeCell ref="H253:I253"/>
    <mergeCell ref="J253:K253"/>
    <mergeCell ref="B261:K261"/>
    <mergeCell ref="B276:K277"/>
    <mergeCell ref="B278:C278"/>
    <mergeCell ref="D278:E278"/>
    <mergeCell ref="F278:G278"/>
    <mergeCell ref="H278:I278"/>
    <mergeCell ref="J278:K278"/>
    <mergeCell ref="B266:C266"/>
    <mergeCell ref="D266:E266"/>
    <mergeCell ref="F266:G266"/>
    <mergeCell ref="H266:I266"/>
    <mergeCell ref="J266:K266"/>
    <mergeCell ref="B274:K274"/>
    <mergeCell ref="B289:K290"/>
    <mergeCell ref="B291:C291"/>
    <mergeCell ref="D291:E291"/>
    <mergeCell ref="F291:G291"/>
    <mergeCell ref="H291:I291"/>
    <mergeCell ref="J291:K291"/>
    <mergeCell ref="B279:C279"/>
    <mergeCell ref="D279:E279"/>
    <mergeCell ref="F279:G279"/>
    <mergeCell ref="H279:I279"/>
    <mergeCell ref="J279:K279"/>
    <mergeCell ref="B287:K287"/>
    <mergeCell ref="B302:K303"/>
    <mergeCell ref="B304:C304"/>
    <mergeCell ref="D304:E304"/>
    <mergeCell ref="F304:G304"/>
    <mergeCell ref="H304:I304"/>
    <mergeCell ref="J304:K304"/>
    <mergeCell ref="B292:C292"/>
    <mergeCell ref="D292:E292"/>
    <mergeCell ref="F292:G292"/>
    <mergeCell ref="H292:I292"/>
    <mergeCell ref="J292:K292"/>
    <mergeCell ref="B300:K300"/>
    <mergeCell ref="F317:G317"/>
    <mergeCell ref="H317:I317"/>
    <mergeCell ref="J317:K317"/>
    <mergeCell ref="B305:C305"/>
    <mergeCell ref="D305:E305"/>
    <mergeCell ref="F305:G305"/>
    <mergeCell ref="H305:I305"/>
    <mergeCell ref="J305:K305"/>
    <mergeCell ref="B313:K313"/>
    <mergeCell ref="F12:G12"/>
    <mergeCell ref="B12:C12"/>
    <mergeCell ref="D12:E12"/>
    <mergeCell ref="B331:C331"/>
    <mergeCell ref="D331:E331"/>
    <mergeCell ref="F331:G331"/>
    <mergeCell ref="H331:I331"/>
    <mergeCell ref="J331:K331"/>
    <mergeCell ref="B339:K339"/>
    <mergeCell ref="B328:K329"/>
    <mergeCell ref="B330:C330"/>
    <mergeCell ref="D330:E330"/>
    <mergeCell ref="F330:G330"/>
    <mergeCell ref="H330:I330"/>
    <mergeCell ref="J330:K330"/>
    <mergeCell ref="B318:C318"/>
    <mergeCell ref="D318:E318"/>
    <mergeCell ref="F318:G318"/>
    <mergeCell ref="H318:I318"/>
    <mergeCell ref="J318:K318"/>
    <mergeCell ref="B326:K326"/>
    <mergeCell ref="B315:K316"/>
    <mergeCell ref="B317:C317"/>
    <mergeCell ref="D317:E317"/>
  </mergeCells>
  <hyperlinks>
    <hyperlink ref="D8" r:id="rId1"/>
    <hyperlink ref="B8" r:id="rId2"/>
    <hyperlink ref="B8:C9" r:id="rId3" display="Repositorio Github"/>
    <hyperlink ref="D8:E9" r:id="rId4" display="Grabaciones de clases"/>
    <hyperlink ref="F42:G42" r:id="rId5" display="Grabación de la clase"/>
    <hyperlink ref="B107:C107" r:id="rId6" display="Grabación de la clase"/>
    <hyperlink ref="D107:E107" r:id="rId7" display="Grabación de la clase"/>
    <hyperlink ref="F107:G107" r:id="rId8" display="Grabación de la clase"/>
    <hyperlink ref="J8" r:id="rId9"/>
    <hyperlink ref="H107:I107" r:id="rId10" display="Grabación de la clase"/>
    <hyperlink ref="J107:K107" r:id="rId11" display="Grabación de la clase"/>
    <hyperlink ref="B123:C123" r:id="rId12" display="Grabación de la clase"/>
    <hyperlink ref="D123:E123" r:id="rId13" display="Grabación de la clase"/>
    <hyperlink ref="F123:G123" r:id="rId14" display="Grabación de la clase"/>
    <hyperlink ref="H123:I123" r:id="rId15" display="Grabación de la clase"/>
    <hyperlink ref="J123:K123" r:id="rId16" display="Grabación de la clase"/>
  </hyperlinks>
  <pageMargins left="0.7" right="0.7" top="0.75" bottom="0.75" header="0.3" footer="0.3"/>
  <pageSetup paperSize="256" orientation="portrait" horizontalDpi="0" verticalDpi="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2026-01-22T22:13:58Z</dcterms:modified>
</cp:coreProperties>
</file>